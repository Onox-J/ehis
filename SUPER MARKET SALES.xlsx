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
    </mc:Choice>
  </mc:AlternateContent>
  <bookViews>
    <workbookView xWindow="0" yWindow="0" windowWidth="20400" windowHeight="7155" tabRatio="690" activeTab="3"/>
  </bookViews>
  <sheets>
    <sheet name="CLEANED DATA" sheetId="1" r:id="rId1"/>
    <sheet name="PIVOT TABLE" sheetId="8" r:id="rId2"/>
    <sheet name="DASHBOARD" sheetId="6" r:id="rId3"/>
    <sheet name="INSIGHT" sheetId="9" r:id="rId4"/>
  </sheets>
  <definedNames>
    <definedName name="_xlnm._FilterDatabase" localSheetId="0" hidden="1">'CLEANED DATA'!$Q$1:$Q$155</definedName>
    <definedName name="Slicer_LOCATION">#N/A</definedName>
    <definedName name="Slicer_PAYMENT_METHOD">#N/A</definedName>
  </definedNames>
  <calcPr calcId="152511"/>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0" i="1" l="1"/>
  <c r="M52" i="1"/>
  <c r="W5" i="1"/>
  <c r="W16" i="1" l="1"/>
  <c r="F5" i="1"/>
  <c r="E51" i="1"/>
  <c r="J205" i="1" l="1"/>
  <c r="E2" i="1"/>
  <c r="J2" i="1"/>
  <c r="M2" i="1"/>
  <c r="E60" i="1"/>
  <c r="M3" i="1" l="1"/>
  <c r="M4" i="1"/>
  <c r="M5" i="1"/>
  <c r="M6" i="1"/>
  <c r="M7" i="1"/>
  <c r="M8" i="1"/>
  <c r="M9" i="1"/>
  <c r="M10" i="1"/>
  <c r="M11" i="1"/>
  <c r="M12" i="1"/>
  <c r="M13" i="1"/>
  <c r="M14" i="1"/>
  <c r="M15" i="1"/>
  <c r="M16" i="1"/>
  <c r="M17" i="1"/>
  <c r="M18" i="1"/>
  <c r="M19" i="1"/>
  <c r="M20" i="1"/>
  <c r="M21" i="1"/>
  <c r="M22" i="1"/>
  <c r="M23" i="1"/>
  <c r="M24" i="1"/>
  <c r="M25" i="1"/>
  <c r="M26" i="1"/>
  <c r="M27" i="1"/>
  <c r="M28" i="1"/>
  <c r="M29" i="1"/>
  <c r="M31" i="1"/>
  <c r="M32" i="1"/>
  <c r="M33" i="1"/>
  <c r="M34" i="1"/>
  <c r="M35" i="1"/>
  <c r="M36" i="1"/>
  <c r="M37" i="1"/>
  <c r="M38" i="1"/>
  <c r="M39" i="1"/>
  <c r="M40" i="1"/>
  <c r="M41" i="1"/>
  <c r="M42" i="1"/>
  <c r="M43" i="1"/>
  <c r="M44" i="1"/>
  <c r="M45" i="1"/>
  <c r="M46" i="1"/>
  <c r="M47" i="1"/>
  <c r="M48" i="1"/>
  <c r="M49" i="1"/>
  <c r="M50" i="1"/>
  <c r="M51" i="1"/>
  <c r="M53" i="1"/>
  <c r="M54" i="1"/>
  <c r="M55" i="1"/>
  <c r="M56" i="1"/>
  <c r="M57" i="1"/>
  <c r="M58" i="1"/>
  <c r="M59" i="1"/>
  <c r="M60" i="1"/>
  <c r="M61" i="1"/>
  <c r="M62" i="1"/>
  <c r="M63" i="1"/>
  <c r="M64" i="1"/>
  <c r="M65" i="1"/>
  <c r="M66" i="1"/>
  <c r="M67" i="1"/>
  <c r="M68" i="1"/>
  <c r="M69" i="1"/>
  <c r="M70" i="1"/>
  <c r="M71" i="1"/>
  <c r="M72" i="1"/>
  <c r="M73" i="1"/>
  <c r="M74" i="1"/>
  <c r="M75"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8" i="1"/>
  <c r="M109" i="1"/>
  <c r="M110" i="1"/>
  <c r="M111" i="1"/>
  <c r="M112" i="1"/>
  <c r="M113" i="1"/>
  <c r="M114" i="1"/>
  <c r="M115" i="1"/>
  <c r="M116" i="1"/>
  <c r="M117" i="1"/>
  <c r="M118" i="1"/>
  <c r="M119" i="1"/>
  <c r="M120" i="1"/>
  <c r="M121"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7" i="1"/>
  <c r="M158" i="1"/>
  <c r="M159" i="1"/>
  <c r="M160" i="1"/>
  <c r="M161" i="1"/>
  <c r="M162" i="1"/>
  <c r="M163" i="1"/>
  <c r="M164" i="1"/>
  <c r="M165" i="1"/>
  <c r="M166" i="1"/>
  <c r="M167" i="1"/>
  <c r="M168" i="1"/>
  <c r="M171"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3" i="1"/>
  <c r="J4" i="1"/>
  <c r="J5" i="1"/>
  <c r="J6" i="1"/>
  <c r="J7" i="1"/>
  <c r="J8" i="1"/>
  <c r="J9" i="1"/>
  <c r="J10" i="1"/>
  <c r="J11" i="1"/>
  <c r="J12" i="1"/>
  <c r="J13" i="1"/>
  <c r="J14" i="1"/>
  <c r="S3" i="1"/>
  <c r="G3" i="1" s="1"/>
  <c r="S4" i="1"/>
  <c r="G4" i="1" s="1"/>
  <c r="S5" i="1"/>
  <c r="G5" i="1" s="1"/>
  <c r="S6" i="1"/>
  <c r="S7" i="1"/>
  <c r="G7" i="1" s="1"/>
  <c r="S8" i="1"/>
  <c r="G8" i="1" s="1"/>
  <c r="S9" i="1"/>
  <c r="S10" i="1"/>
  <c r="S11" i="1"/>
  <c r="G11" i="1" s="1"/>
  <c r="S12" i="1"/>
  <c r="S13" i="1"/>
  <c r="S14" i="1"/>
  <c r="S15" i="1"/>
  <c r="G15" i="1" s="1"/>
  <c r="S16" i="1"/>
  <c r="S17" i="1"/>
  <c r="S18" i="1"/>
  <c r="S19" i="1"/>
  <c r="G19" i="1" s="1"/>
  <c r="S20" i="1"/>
  <c r="S21" i="1"/>
  <c r="S22" i="1"/>
  <c r="S23" i="1"/>
  <c r="G23" i="1" s="1"/>
  <c r="S24" i="1"/>
  <c r="S25" i="1"/>
  <c r="S26" i="1"/>
  <c r="S27" i="1"/>
  <c r="G27" i="1" s="1"/>
  <c r="S28" i="1"/>
  <c r="S29" i="1"/>
  <c r="S30" i="1"/>
  <c r="G30" i="1" s="1"/>
  <c r="S31" i="1"/>
  <c r="G31" i="1" s="1"/>
  <c r="S32" i="1"/>
  <c r="S33" i="1"/>
  <c r="S34" i="1"/>
  <c r="G34" i="1" s="1"/>
  <c r="S35" i="1"/>
  <c r="S36" i="1"/>
  <c r="S37" i="1"/>
  <c r="S38" i="1"/>
  <c r="G38" i="1" s="1"/>
  <c r="S39" i="1"/>
  <c r="S40" i="1"/>
  <c r="S41" i="1"/>
  <c r="S42" i="1"/>
  <c r="G42" i="1" s="1"/>
  <c r="S43" i="1"/>
  <c r="G43" i="1" s="1"/>
  <c r="S44" i="1"/>
  <c r="S45" i="1"/>
  <c r="S46" i="1"/>
  <c r="G46" i="1" s="1"/>
  <c r="S47" i="1"/>
  <c r="G47" i="1" s="1"/>
  <c r="S48" i="1"/>
  <c r="S49" i="1"/>
  <c r="S50" i="1"/>
  <c r="G50" i="1" s="1"/>
  <c r="S51" i="1"/>
  <c r="G51" i="1" s="1"/>
  <c r="S52" i="1"/>
  <c r="S53" i="1"/>
  <c r="S54" i="1"/>
  <c r="G54" i="1" s="1"/>
  <c r="S55" i="1"/>
  <c r="G55" i="1" s="1"/>
  <c r="S56" i="1"/>
  <c r="S57" i="1"/>
  <c r="S58" i="1"/>
  <c r="G58" i="1" s="1"/>
  <c r="S59" i="1"/>
  <c r="G59" i="1" s="1"/>
  <c r="S60" i="1"/>
  <c r="S61" i="1"/>
  <c r="S62" i="1"/>
  <c r="G62" i="1" s="1"/>
  <c r="S63" i="1"/>
  <c r="G63" i="1" s="1"/>
  <c r="S64" i="1"/>
  <c r="S65" i="1"/>
  <c r="S66" i="1"/>
  <c r="G66" i="1" s="1"/>
  <c r="S67" i="1"/>
  <c r="G67" i="1" s="1"/>
  <c r="S68" i="1"/>
  <c r="S69" i="1"/>
  <c r="S70" i="1"/>
  <c r="G70" i="1" s="1"/>
  <c r="S71" i="1"/>
  <c r="G71" i="1" s="1"/>
  <c r="S72" i="1"/>
  <c r="S73" i="1"/>
  <c r="S74" i="1"/>
  <c r="G74" i="1" s="1"/>
  <c r="S75" i="1"/>
  <c r="S76" i="1"/>
  <c r="S77" i="1"/>
  <c r="S78" i="1"/>
  <c r="G78" i="1" s="1"/>
  <c r="S79" i="1"/>
  <c r="S80" i="1"/>
  <c r="S81" i="1"/>
  <c r="S82" i="1"/>
  <c r="S83" i="1"/>
  <c r="G83" i="1" s="1"/>
  <c r="S84" i="1"/>
  <c r="S85" i="1"/>
  <c r="S86" i="1"/>
  <c r="G86" i="1" s="1"/>
  <c r="S87" i="1"/>
  <c r="S88" i="1"/>
  <c r="S89" i="1"/>
  <c r="S90" i="1"/>
  <c r="G90" i="1" s="1"/>
  <c r="S91" i="1"/>
  <c r="G91" i="1" s="1"/>
  <c r="S92" i="1"/>
  <c r="S93" i="1"/>
  <c r="S94" i="1"/>
  <c r="G94" i="1" s="1"/>
  <c r="S95" i="1"/>
  <c r="G95" i="1" s="1"/>
  <c r="S96" i="1"/>
  <c r="S97" i="1"/>
  <c r="S98" i="1"/>
  <c r="G98" i="1" s="1"/>
  <c r="S99" i="1"/>
  <c r="G99" i="1" s="1"/>
  <c r="S100" i="1"/>
  <c r="S101" i="1"/>
  <c r="S102" i="1"/>
  <c r="G102" i="1" s="1"/>
  <c r="S103" i="1"/>
  <c r="G103" i="1" s="1"/>
  <c r="S104" i="1"/>
  <c r="S105" i="1"/>
  <c r="S106" i="1"/>
  <c r="G106" i="1" s="1"/>
  <c r="S107" i="1"/>
  <c r="S108" i="1"/>
  <c r="S109" i="1"/>
  <c r="S110" i="1"/>
  <c r="S111" i="1"/>
  <c r="G111" i="1" s="1"/>
  <c r="S112" i="1"/>
  <c r="S113" i="1"/>
  <c r="S114" i="1"/>
  <c r="G114" i="1" s="1"/>
  <c r="S115" i="1"/>
  <c r="S116" i="1"/>
  <c r="S117" i="1"/>
  <c r="S118" i="1"/>
  <c r="G118" i="1" s="1"/>
  <c r="S119" i="1"/>
  <c r="G119" i="1" s="1"/>
  <c r="S120" i="1"/>
  <c r="S121" i="1"/>
  <c r="S122" i="1"/>
  <c r="S123" i="1"/>
  <c r="G123" i="1" s="1"/>
  <c r="S124" i="1"/>
  <c r="S125" i="1"/>
  <c r="S126" i="1"/>
  <c r="S127" i="1"/>
  <c r="G127" i="1" s="1"/>
  <c r="S128" i="1"/>
  <c r="S129" i="1"/>
  <c r="S130" i="1"/>
  <c r="G130" i="1" s="1"/>
  <c r="S131" i="1"/>
  <c r="S132" i="1"/>
  <c r="S133" i="1"/>
  <c r="S134" i="1"/>
  <c r="S135" i="1"/>
  <c r="G135" i="1" s="1"/>
  <c r="S136" i="1"/>
  <c r="S137" i="1"/>
  <c r="S138" i="1"/>
  <c r="G138" i="1" s="1"/>
  <c r="S139" i="1"/>
  <c r="G139" i="1" s="1"/>
  <c r="S140" i="1"/>
  <c r="S141" i="1"/>
  <c r="S142" i="1"/>
  <c r="G142" i="1" s="1"/>
  <c r="S143" i="1"/>
  <c r="G143" i="1" s="1"/>
  <c r="S144" i="1"/>
  <c r="S145" i="1"/>
  <c r="S146" i="1"/>
  <c r="G146" i="1" s="1"/>
  <c r="S147" i="1"/>
  <c r="G147" i="1" s="1"/>
  <c r="S148" i="1"/>
  <c r="S149" i="1"/>
  <c r="S150" i="1"/>
  <c r="G150" i="1" s="1"/>
  <c r="S151" i="1"/>
  <c r="G151" i="1" s="1"/>
  <c r="S152" i="1"/>
  <c r="S153" i="1"/>
  <c r="S154" i="1"/>
  <c r="G154" i="1" s="1"/>
  <c r="S155" i="1"/>
  <c r="G155" i="1" s="1"/>
  <c r="S156" i="1"/>
  <c r="S157" i="1"/>
  <c r="G157" i="1" s="1"/>
  <c r="S158" i="1"/>
  <c r="G158" i="1" s="1"/>
  <c r="S159" i="1"/>
  <c r="G159" i="1" s="1"/>
  <c r="S160" i="1"/>
  <c r="S161" i="1"/>
  <c r="G161" i="1" s="1"/>
  <c r="S162" i="1"/>
  <c r="S163" i="1"/>
  <c r="G163" i="1" s="1"/>
  <c r="S164" i="1"/>
  <c r="S165" i="1"/>
  <c r="G165" i="1" s="1"/>
  <c r="S166" i="1"/>
  <c r="G166" i="1" s="1"/>
  <c r="S167" i="1"/>
  <c r="G167" i="1" s="1"/>
  <c r="S168" i="1"/>
  <c r="S169" i="1"/>
  <c r="S170" i="1"/>
  <c r="G170" i="1" s="1"/>
  <c r="S171" i="1"/>
  <c r="G171" i="1" s="1"/>
  <c r="S172" i="1"/>
  <c r="S173" i="1"/>
  <c r="G173" i="1" s="1"/>
  <c r="S174" i="1"/>
  <c r="G174" i="1" s="1"/>
  <c r="S175" i="1"/>
  <c r="G175" i="1" s="1"/>
  <c r="S176" i="1"/>
  <c r="S177" i="1"/>
  <c r="S178" i="1"/>
  <c r="G178" i="1" s="1"/>
  <c r="S179" i="1"/>
  <c r="S180" i="1"/>
  <c r="S181" i="1"/>
  <c r="G181" i="1" s="1"/>
  <c r="S182" i="1"/>
  <c r="G182" i="1" s="1"/>
  <c r="S183" i="1"/>
  <c r="S184" i="1"/>
  <c r="G184" i="1" s="1"/>
  <c r="S185" i="1"/>
  <c r="G185" i="1" s="1"/>
  <c r="S186" i="1"/>
  <c r="G186" i="1" s="1"/>
  <c r="G187" i="1"/>
  <c r="S188" i="1"/>
  <c r="S189" i="1"/>
  <c r="G189" i="1" s="1"/>
  <c r="S190" i="1"/>
  <c r="G190" i="1" s="1"/>
  <c r="S191" i="1"/>
  <c r="G191" i="1" s="1"/>
  <c r="S192" i="1"/>
  <c r="S193" i="1"/>
  <c r="G193" i="1" s="1"/>
  <c r="S194" i="1"/>
  <c r="G194" i="1" s="1"/>
  <c r="S195" i="1"/>
  <c r="G195" i="1" s="1"/>
  <c r="S196" i="1"/>
  <c r="S197" i="1"/>
  <c r="G197" i="1" s="1"/>
  <c r="S198" i="1"/>
  <c r="G198" i="1" s="1"/>
  <c r="S199" i="1"/>
  <c r="G199" i="1" s="1"/>
  <c r="S200" i="1"/>
  <c r="S201" i="1"/>
  <c r="G201" i="1" s="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G227" i="1" s="1"/>
  <c r="S228" i="1"/>
  <c r="S229" i="1"/>
  <c r="S230" i="1"/>
  <c r="S231" i="1"/>
  <c r="G231" i="1" s="1"/>
  <c r="S232" i="1"/>
  <c r="S233" i="1"/>
  <c r="S234" i="1"/>
  <c r="S235" i="1"/>
  <c r="G235" i="1" s="1"/>
  <c r="S236" i="1"/>
  <c r="S237" i="1"/>
  <c r="S238" i="1"/>
  <c r="S239" i="1"/>
  <c r="G239" i="1" s="1"/>
  <c r="S240" i="1"/>
  <c r="S241" i="1"/>
  <c r="S242" i="1"/>
  <c r="S243" i="1"/>
  <c r="G243" i="1" s="1"/>
  <c r="S244" i="1"/>
  <c r="S245" i="1"/>
  <c r="S246" i="1"/>
  <c r="S247" i="1"/>
  <c r="G247" i="1" s="1"/>
  <c r="S248" i="1"/>
  <c r="S249" i="1"/>
  <c r="S250" i="1"/>
  <c r="S251" i="1"/>
  <c r="G251" i="1" s="1"/>
  <c r="S2" i="1"/>
  <c r="W3" i="1"/>
  <c r="F3" i="1" s="1"/>
  <c r="W4" i="1"/>
  <c r="F4" i="1" s="1"/>
  <c r="W6" i="1"/>
  <c r="W7" i="1"/>
  <c r="F7" i="1" s="1"/>
  <c r="W8" i="1"/>
  <c r="F8" i="1" s="1"/>
  <c r="W9" i="1"/>
  <c r="W10" i="1"/>
  <c r="F10" i="1" s="1"/>
  <c r="W11" i="1"/>
  <c r="W12" i="1"/>
  <c r="W13" i="1"/>
  <c r="W14" i="1"/>
  <c r="F14" i="1" s="1"/>
  <c r="W15" i="1"/>
  <c r="F15" i="1" s="1"/>
  <c r="W17" i="1"/>
  <c r="W18" i="1"/>
  <c r="W19" i="1"/>
  <c r="W20" i="1"/>
  <c r="W21" i="1"/>
  <c r="W22" i="1"/>
  <c r="W23" i="1"/>
  <c r="W24" i="1"/>
  <c r="W25" i="1"/>
  <c r="W26" i="1"/>
  <c r="W27" i="1"/>
  <c r="W28" i="1"/>
  <c r="W29" i="1"/>
  <c r="W30" i="1"/>
  <c r="F30" i="1" s="1"/>
  <c r="W31" i="1"/>
  <c r="W32" i="1"/>
  <c r="W33" i="1"/>
  <c r="W34" i="1"/>
  <c r="F34" i="1" s="1"/>
  <c r="W35" i="1"/>
  <c r="W36" i="1"/>
  <c r="W37" i="1"/>
  <c r="W38" i="1"/>
  <c r="F38" i="1" s="1"/>
  <c r="W39" i="1"/>
  <c r="W40" i="1"/>
  <c r="W41" i="1"/>
  <c r="W42" i="1"/>
  <c r="F42" i="1" s="1"/>
  <c r="W43" i="1"/>
  <c r="W44" i="1"/>
  <c r="W45" i="1"/>
  <c r="W46" i="1"/>
  <c r="F46" i="1" s="1"/>
  <c r="W47" i="1"/>
  <c r="W48" i="1"/>
  <c r="W49" i="1"/>
  <c r="W50" i="1"/>
  <c r="F50" i="1" s="1"/>
  <c r="W51" i="1"/>
  <c r="W52" i="1"/>
  <c r="W53" i="1"/>
  <c r="W54" i="1"/>
  <c r="F54" i="1" s="1"/>
  <c r="W55" i="1"/>
  <c r="W56" i="1"/>
  <c r="W57" i="1"/>
  <c r="W58" i="1"/>
  <c r="F58" i="1" s="1"/>
  <c r="W59" i="1"/>
  <c r="W60" i="1"/>
  <c r="W61" i="1"/>
  <c r="W62" i="1"/>
  <c r="F62" i="1" s="1"/>
  <c r="W63" i="1"/>
  <c r="W64" i="1"/>
  <c r="W65" i="1"/>
  <c r="W66" i="1"/>
  <c r="F66" i="1" s="1"/>
  <c r="W67" i="1"/>
  <c r="W68" i="1"/>
  <c r="W69" i="1"/>
  <c r="W70" i="1"/>
  <c r="F70" i="1" s="1"/>
  <c r="W71" i="1"/>
  <c r="W72" i="1"/>
  <c r="W73" i="1"/>
  <c r="W74" i="1"/>
  <c r="F74" i="1" s="1"/>
  <c r="W75" i="1"/>
  <c r="W76" i="1"/>
  <c r="W77" i="1"/>
  <c r="W78" i="1"/>
  <c r="F78" i="1" s="1"/>
  <c r="W79" i="1"/>
  <c r="W80" i="1"/>
  <c r="W81" i="1"/>
  <c r="W82" i="1"/>
  <c r="W83" i="1"/>
  <c r="W84" i="1"/>
  <c r="W85" i="1"/>
  <c r="W86" i="1"/>
  <c r="F86" i="1" s="1"/>
  <c r="W87" i="1"/>
  <c r="W88" i="1"/>
  <c r="W89" i="1"/>
  <c r="W90" i="1"/>
  <c r="F90" i="1" s="1"/>
  <c r="W91" i="1"/>
  <c r="W92" i="1"/>
  <c r="W93" i="1"/>
  <c r="W94" i="1"/>
  <c r="F94" i="1" s="1"/>
  <c r="W95" i="1"/>
  <c r="W96" i="1"/>
  <c r="W97" i="1"/>
  <c r="W98" i="1"/>
  <c r="F98" i="1" s="1"/>
  <c r="W99" i="1"/>
  <c r="W100" i="1"/>
  <c r="W101" i="1"/>
  <c r="W102" i="1"/>
  <c r="F102" i="1" s="1"/>
  <c r="W103" i="1"/>
  <c r="W104" i="1"/>
  <c r="W105" i="1"/>
  <c r="W106" i="1"/>
  <c r="F106" i="1" s="1"/>
  <c r="W107" i="1"/>
  <c r="W108" i="1"/>
  <c r="W109" i="1"/>
  <c r="W110" i="1"/>
  <c r="W111" i="1"/>
  <c r="W112" i="1"/>
  <c r="W113" i="1"/>
  <c r="W114" i="1"/>
  <c r="F114" i="1" s="1"/>
  <c r="W115" i="1"/>
  <c r="W116" i="1"/>
  <c r="W117" i="1"/>
  <c r="W118" i="1"/>
  <c r="F118" i="1" s="1"/>
  <c r="W119" i="1"/>
  <c r="W120" i="1"/>
  <c r="W121" i="1"/>
  <c r="W122" i="1"/>
  <c r="W123" i="1"/>
  <c r="W124" i="1"/>
  <c r="W125" i="1"/>
  <c r="W126" i="1"/>
  <c r="W127" i="1"/>
  <c r="W128" i="1"/>
  <c r="W129" i="1"/>
  <c r="W130" i="1"/>
  <c r="F130" i="1" s="1"/>
  <c r="W131" i="1"/>
  <c r="W132" i="1"/>
  <c r="W133" i="1"/>
  <c r="W134" i="1"/>
  <c r="W135" i="1"/>
  <c r="W136" i="1"/>
  <c r="W137" i="1"/>
  <c r="W138" i="1"/>
  <c r="F138" i="1" s="1"/>
  <c r="W139" i="1"/>
  <c r="W140" i="1"/>
  <c r="W141" i="1"/>
  <c r="W142" i="1"/>
  <c r="F142" i="1" s="1"/>
  <c r="W143" i="1"/>
  <c r="W144" i="1"/>
  <c r="W145" i="1"/>
  <c r="W146" i="1"/>
  <c r="F146" i="1" s="1"/>
  <c r="W147" i="1"/>
  <c r="W148" i="1"/>
  <c r="W149" i="1"/>
  <c r="W150" i="1"/>
  <c r="F150" i="1" s="1"/>
  <c r="W151" i="1"/>
  <c r="W152" i="1"/>
  <c r="W153" i="1"/>
  <c r="W154" i="1"/>
  <c r="F154" i="1" s="1"/>
  <c r="W155" i="1"/>
  <c r="W156" i="1"/>
  <c r="W157" i="1"/>
  <c r="F157" i="1" s="1"/>
  <c r="W158" i="1"/>
  <c r="F158" i="1" s="1"/>
  <c r="W159" i="1"/>
  <c r="W160" i="1"/>
  <c r="W161" i="1"/>
  <c r="F161" i="1" s="1"/>
  <c r="W162" i="1"/>
  <c r="W163" i="1"/>
  <c r="W164" i="1"/>
  <c r="W165" i="1"/>
  <c r="F165" i="1" s="1"/>
  <c r="W166" i="1"/>
  <c r="F166" i="1" s="1"/>
  <c r="W167" i="1"/>
  <c r="W168" i="1"/>
  <c r="W169" i="1"/>
  <c r="W170" i="1"/>
  <c r="F170" i="1" s="1"/>
  <c r="W171" i="1"/>
  <c r="W172" i="1"/>
  <c r="W173" i="1"/>
  <c r="F173" i="1" s="1"/>
  <c r="W174" i="1"/>
  <c r="F174" i="1" s="1"/>
  <c r="W175" i="1"/>
  <c r="W176" i="1"/>
  <c r="W177" i="1"/>
  <c r="W178" i="1"/>
  <c r="F178" i="1" s="1"/>
  <c r="W179" i="1"/>
  <c r="W180" i="1"/>
  <c r="W181" i="1"/>
  <c r="F181" i="1" s="1"/>
  <c r="W182" i="1"/>
  <c r="F182" i="1" s="1"/>
  <c r="W183" i="1"/>
  <c r="W184" i="1"/>
  <c r="W185" i="1"/>
  <c r="F185" i="1" s="1"/>
  <c r="W186" i="1"/>
  <c r="F186" i="1" s="1"/>
  <c r="W187" i="1"/>
  <c r="W188" i="1"/>
  <c r="W189" i="1"/>
  <c r="F189" i="1" s="1"/>
  <c r="W190" i="1"/>
  <c r="F190" i="1" s="1"/>
  <c r="W191" i="1"/>
  <c r="W192" i="1"/>
  <c r="W193" i="1"/>
  <c r="F193" i="1" s="1"/>
  <c r="W194" i="1"/>
  <c r="F194" i="1" s="1"/>
  <c r="W195" i="1"/>
  <c r="W196" i="1"/>
  <c r="W197" i="1"/>
  <c r="F197" i="1" s="1"/>
  <c r="W198" i="1"/>
  <c r="F198" i="1" s="1"/>
  <c r="W199" i="1"/>
  <c r="W200" i="1"/>
  <c r="W201" i="1"/>
  <c r="F201" i="1" s="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2" i="1"/>
  <c r="E53" i="1"/>
  <c r="E54" i="1"/>
  <c r="E55" i="1"/>
  <c r="E56" i="1"/>
  <c r="E57" i="1"/>
  <c r="E58" i="1"/>
  <c r="E59"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AC2" i="1"/>
  <c r="AC3" i="1"/>
  <c r="D3" i="1" s="1"/>
  <c r="AC4" i="1"/>
  <c r="D4" i="1" s="1"/>
  <c r="AC5" i="1"/>
  <c r="D5" i="1" s="1"/>
  <c r="AC6" i="1"/>
  <c r="AC7" i="1"/>
  <c r="D7" i="1" s="1"/>
  <c r="AC8" i="1"/>
  <c r="D8" i="1" s="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D36" i="1" s="1"/>
  <c r="AC37" i="1"/>
  <c r="AC38" i="1"/>
  <c r="AC39" i="1"/>
  <c r="AC40" i="1"/>
  <c r="AC41" i="1"/>
  <c r="AC42" i="1"/>
  <c r="AC43" i="1"/>
  <c r="AC44" i="1"/>
  <c r="D44" i="1" s="1"/>
  <c r="AC45" i="1"/>
  <c r="AC46" i="1"/>
  <c r="AC47" i="1"/>
  <c r="AC48" i="1"/>
  <c r="AC49" i="1"/>
  <c r="AC50" i="1"/>
  <c r="AC51" i="1"/>
  <c r="AC52" i="1"/>
  <c r="D52" i="1" s="1"/>
  <c r="AC53" i="1"/>
  <c r="AC54" i="1"/>
  <c r="AC55" i="1"/>
  <c r="AC56" i="1"/>
  <c r="D56" i="1" s="1"/>
  <c r="AC57" i="1"/>
  <c r="AC58" i="1"/>
  <c r="AC59" i="1"/>
  <c r="AC60" i="1"/>
  <c r="AC61" i="1"/>
  <c r="AC62" i="1"/>
  <c r="AC63" i="1"/>
  <c r="AC64" i="1"/>
  <c r="D64" i="1" s="1"/>
  <c r="AC65" i="1"/>
  <c r="AC66" i="1"/>
  <c r="AC67" i="1"/>
  <c r="AC68" i="1"/>
  <c r="AC69" i="1"/>
  <c r="AC70" i="1"/>
  <c r="AC71" i="1"/>
  <c r="AC72" i="1"/>
  <c r="D72" i="1" s="1"/>
  <c r="AC73" i="1"/>
  <c r="AC74" i="1"/>
  <c r="AC75" i="1"/>
  <c r="AC76" i="1"/>
  <c r="AC77" i="1"/>
  <c r="AC78" i="1"/>
  <c r="AC79" i="1"/>
  <c r="AC80" i="1"/>
  <c r="D80" i="1" s="1"/>
  <c r="AC81" i="1"/>
  <c r="AC82" i="1"/>
  <c r="AC83" i="1"/>
  <c r="AC84" i="1"/>
  <c r="AC85" i="1"/>
  <c r="AC86" i="1"/>
  <c r="AC87" i="1"/>
  <c r="AC88" i="1"/>
  <c r="D88" i="1" s="1"/>
  <c r="AC89" i="1"/>
  <c r="AC90" i="1"/>
  <c r="AC91" i="1"/>
  <c r="AC92" i="1"/>
  <c r="D92" i="1" s="1"/>
  <c r="AC93" i="1"/>
  <c r="AC94" i="1"/>
  <c r="AC95" i="1"/>
  <c r="AC96" i="1"/>
  <c r="D96" i="1" s="1"/>
  <c r="AC97" i="1"/>
  <c r="AC98" i="1"/>
  <c r="AC99" i="1"/>
  <c r="AC100" i="1"/>
  <c r="AC101" i="1"/>
  <c r="AC102" i="1"/>
  <c r="AC103" i="1"/>
  <c r="AC104" i="1"/>
  <c r="D104" i="1" s="1"/>
  <c r="AC105" i="1"/>
  <c r="AC106" i="1"/>
  <c r="AC107" i="1"/>
  <c r="AC108" i="1"/>
  <c r="D108" i="1" s="1"/>
  <c r="AC109" i="1"/>
  <c r="AC110" i="1"/>
  <c r="AC111" i="1"/>
  <c r="AC112" i="1"/>
  <c r="D112" i="1" s="1"/>
  <c r="AC113" i="1"/>
  <c r="AC114" i="1"/>
  <c r="AC115" i="1"/>
  <c r="AC116" i="1"/>
  <c r="D116" i="1" s="1"/>
  <c r="AC117" i="1"/>
  <c r="AC118" i="1"/>
  <c r="AC119" i="1"/>
  <c r="AC120" i="1"/>
  <c r="D120" i="1" s="1"/>
  <c r="AC121" i="1"/>
  <c r="AC122" i="1"/>
  <c r="AC123" i="1"/>
  <c r="AC124" i="1"/>
  <c r="AC125" i="1"/>
  <c r="AC126" i="1"/>
  <c r="AC127" i="1"/>
  <c r="AC128" i="1"/>
  <c r="D128" i="1" s="1"/>
  <c r="AC129" i="1"/>
  <c r="AC130" i="1"/>
  <c r="AC131" i="1"/>
  <c r="AC132" i="1"/>
  <c r="D132" i="1" s="1"/>
  <c r="AC133" i="1"/>
  <c r="AC134" i="1"/>
  <c r="AC135" i="1"/>
  <c r="AC136" i="1"/>
  <c r="D136" i="1" s="1"/>
  <c r="AC137" i="1"/>
  <c r="AC138" i="1"/>
  <c r="AC139" i="1"/>
  <c r="AC140" i="1"/>
  <c r="D140" i="1" s="1"/>
  <c r="AC141" i="1"/>
  <c r="AC142" i="1"/>
  <c r="AC143" i="1"/>
  <c r="AC144" i="1"/>
  <c r="D144" i="1" s="1"/>
  <c r="AC145" i="1"/>
  <c r="AC146" i="1"/>
  <c r="AC147" i="1"/>
  <c r="AC148" i="1"/>
  <c r="D148" i="1" s="1"/>
  <c r="AC149" i="1"/>
  <c r="AC150" i="1"/>
  <c r="AC151" i="1"/>
  <c r="AC152" i="1"/>
  <c r="D152" i="1" s="1"/>
  <c r="AC153" i="1"/>
  <c r="AC154" i="1"/>
  <c r="AC155" i="1"/>
  <c r="AC156" i="1"/>
  <c r="D156" i="1" s="1"/>
  <c r="AC157" i="1"/>
  <c r="AC158" i="1"/>
  <c r="AC159" i="1"/>
  <c r="D159" i="1" s="1"/>
  <c r="AC160" i="1"/>
  <c r="D160" i="1" s="1"/>
  <c r="AC161" i="1"/>
  <c r="AC162" i="1"/>
  <c r="AC163" i="1"/>
  <c r="D163" i="1" s="1"/>
  <c r="AC164" i="1"/>
  <c r="D164" i="1" s="1"/>
  <c r="AC165" i="1"/>
  <c r="AC166" i="1"/>
  <c r="AC167" i="1"/>
  <c r="D167" i="1" s="1"/>
  <c r="AC168" i="1"/>
  <c r="D168" i="1" s="1"/>
  <c r="AC169" i="1"/>
  <c r="AC170" i="1"/>
  <c r="AC171" i="1"/>
  <c r="D171" i="1" s="1"/>
  <c r="AC172" i="1"/>
  <c r="AC173" i="1"/>
  <c r="AC174" i="1"/>
  <c r="AC175" i="1"/>
  <c r="D175" i="1" s="1"/>
  <c r="AC176" i="1"/>
  <c r="D176" i="1" s="1"/>
  <c r="AC177" i="1"/>
  <c r="AC178" i="1"/>
  <c r="AC179" i="1"/>
  <c r="AC180" i="1"/>
  <c r="D180" i="1" s="1"/>
  <c r="AC181" i="1"/>
  <c r="AC182" i="1"/>
  <c r="AC183" i="1"/>
  <c r="AC184" i="1"/>
  <c r="D184" i="1" s="1"/>
  <c r="AC185" i="1"/>
  <c r="AC186" i="1"/>
  <c r="AC187" i="1"/>
  <c r="D187" i="1" s="1"/>
  <c r="AC188" i="1"/>
  <c r="D188" i="1" s="1"/>
  <c r="AC189" i="1"/>
  <c r="AC190" i="1"/>
  <c r="AC191" i="1"/>
  <c r="D191" i="1" s="1"/>
  <c r="AC192" i="1"/>
  <c r="D192" i="1" s="1"/>
  <c r="AC193" i="1"/>
  <c r="AC194" i="1"/>
  <c r="AC195" i="1"/>
  <c r="D195" i="1" s="1"/>
  <c r="AC196" i="1"/>
  <c r="D196" i="1" s="1"/>
  <c r="AC197" i="1"/>
  <c r="AC198" i="1"/>
  <c r="AC199" i="1"/>
  <c r="D199" i="1" s="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D68" i="1"/>
  <c r="D228" i="1" l="1"/>
  <c r="D12" i="1"/>
  <c r="F226" i="1"/>
  <c r="F26" i="1"/>
  <c r="G207" i="1"/>
  <c r="D248" i="1"/>
  <c r="D240" i="1"/>
  <c r="D232" i="1"/>
  <c r="D220" i="1"/>
  <c r="D16" i="1"/>
  <c r="F242" i="1"/>
  <c r="F222" i="1"/>
  <c r="F202" i="1"/>
  <c r="F18" i="1"/>
  <c r="D251" i="1"/>
  <c r="D155" i="1"/>
  <c r="D143" i="1"/>
  <c r="D135" i="1"/>
  <c r="D127" i="1"/>
  <c r="D119" i="1"/>
  <c r="D99" i="1"/>
  <c r="D91" i="1"/>
  <c r="D83" i="1"/>
  <c r="D67" i="1"/>
  <c r="D59" i="1"/>
  <c r="D51" i="1"/>
  <c r="D43" i="1"/>
  <c r="D27" i="1"/>
  <c r="F149" i="1"/>
  <c r="F141" i="1"/>
  <c r="F133" i="1"/>
  <c r="F125" i="1"/>
  <c r="F117" i="1"/>
  <c r="F109" i="1"/>
  <c r="F101" i="1"/>
  <c r="F93" i="1"/>
  <c r="F77" i="1"/>
  <c r="F73" i="1"/>
  <c r="F57" i="1"/>
  <c r="F49" i="1"/>
  <c r="F37" i="1"/>
  <c r="D236" i="1"/>
  <c r="D224" i="1"/>
  <c r="D216" i="1"/>
  <c r="D204" i="1"/>
  <c r="D24" i="1"/>
  <c r="F250" i="1"/>
  <c r="F238" i="1"/>
  <c r="F230" i="1"/>
  <c r="F218" i="1"/>
  <c r="F22" i="1"/>
  <c r="D151" i="1"/>
  <c r="D147" i="1"/>
  <c r="D139" i="1"/>
  <c r="D123" i="1"/>
  <c r="D111" i="1"/>
  <c r="D103" i="1"/>
  <c r="D95" i="1"/>
  <c r="D71" i="1"/>
  <c r="D63" i="1"/>
  <c r="D55" i="1"/>
  <c r="D47" i="1"/>
  <c r="D31" i="1"/>
  <c r="F153" i="1"/>
  <c r="F145" i="1"/>
  <c r="F137" i="1"/>
  <c r="F129" i="1"/>
  <c r="F121" i="1"/>
  <c r="F105" i="1"/>
  <c r="F97" i="1"/>
  <c r="F89" i="1"/>
  <c r="F81" i="1"/>
  <c r="F69" i="1"/>
  <c r="F61" i="1"/>
  <c r="F45" i="1"/>
  <c r="F41" i="1"/>
  <c r="F33" i="1"/>
  <c r="D198" i="1"/>
  <c r="D194" i="1"/>
  <c r="D190" i="1"/>
  <c r="D186" i="1"/>
  <c r="D182" i="1"/>
  <c r="D178" i="1"/>
  <c r="D174" i="1"/>
  <c r="D170" i="1"/>
  <c r="D166" i="1"/>
  <c r="D158" i="1"/>
  <c r="F196" i="1"/>
  <c r="F192" i="1"/>
  <c r="F188" i="1"/>
  <c r="F184" i="1"/>
  <c r="F180" i="1"/>
  <c r="F176" i="1"/>
  <c r="F168" i="1"/>
  <c r="F164" i="1"/>
  <c r="F160" i="1"/>
  <c r="F156" i="1"/>
  <c r="D212" i="1"/>
  <c r="D208" i="1"/>
  <c r="F210" i="1"/>
  <c r="F206" i="1"/>
  <c r="F9" i="1"/>
  <c r="G250" i="1"/>
  <c r="G242" i="1"/>
  <c r="G222" i="1"/>
  <c r="G210" i="1"/>
  <c r="G26" i="1"/>
  <c r="G18" i="1"/>
  <c r="G14" i="1"/>
  <c r="D247" i="1"/>
  <c r="D239" i="1"/>
  <c r="D231" i="1"/>
  <c r="D19" i="1"/>
  <c r="D11" i="1"/>
  <c r="F249" i="1"/>
  <c r="F241" i="1"/>
  <c r="F233" i="1"/>
  <c r="F225" i="1"/>
  <c r="F213" i="1"/>
  <c r="F209" i="1"/>
  <c r="F205" i="1"/>
  <c r="F25" i="1"/>
  <c r="F17" i="1"/>
  <c r="F16" i="1"/>
  <c r="G203" i="1"/>
  <c r="F13" i="1"/>
  <c r="G238" i="1"/>
  <c r="G230" i="1"/>
  <c r="G226" i="1"/>
  <c r="G218" i="1"/>
  <c r="G206" i="1"/>
  <c r="G202" i="1"/>
  <c r="G22" i="1"/>
  <c r="G10" i="1"/>
  <c r="D243" i="1"/>
  <c r="D235" i="1"/>
  <c r="D227" i="1"/>
  <c r="D207" i="1"/>
  <c r="D203" i="1"/>
  <c r="D23" i="1"/>
  <c r="D15" i="1"/>
  <c r="F245" i="1"/>
  <c r="F229" i="1"/>
  <c r="F21" i="1"/>
  <c r="D250" i="1"/>
  <c r="D242" i="1"/>
  <c r="D238" i="1"/>
  <c r="D230" i="1"/>
  <c r="D222" i="1"/>
  <c r="D218" i="1"/>
  <c r="D210" i="1"/>
  <c r="D206" i="1"/>
  <c r="D202" i="1"/>
  <c r="D154" i="1"/>
  <c r="D150" i="1"/>
  <c r="D142" i="1"/>
  <c r="D138" i="1"/>
  <c r="D130" i="1"/>
  <c r="D118" i="1"/>
  <c r="D114" i="1"/>
  <c r="D106" i="1"/>
  <c r="D102" i="1"/>
  <c r="D98" i="1"/>
  <c r="D94" i="1"/>
  <c r="D90" i="1"/>
  <c r="D86" i="1"/>
  <c r="D78" i="1"/>
  <c r="D74" i="1"/>
  <c r="D70" i="1"/>
  <c r="D66" i="1"/>
  <c r="D62" i="1"/>
  <c r="D58" i="1"/>
  <c r="D54" i="1"/>
  <c r="D50" i="1"/>
  <c r="D46" i="1"/>
  <c r="D42" i="1"/>
  <c r="D38" i="1"/>
  <c r="D34" i="1"/>
  <c r="D30" i="1"/>
  <c r="D22" i="1"/>
  <c r="D18" i="1"/>
  <c r="D14" i="1"/>
  <c r="D10" i="1"/>
  <c r="F248" i="1"/>
  <c r="F244" i="1"/>
  <c r="F240" i="1"/>
  <c r="F236" i="1"/>
  <c r="F232" i="1"/>
  <c r="F228" i="1"/>
  <c r="F224" i="1"/>
  <c r="F220" i="1"/>
  <c r="F216" i="1"/>
  <c r="F212" i="1"/>
  <c r="F208" i="1"/>
  <c r="F204" i="1"/>
  <c r="F152" i="1"/>
  <c r="F148" i="1"/>
  <c r="F144" i="1"/>
  <c r="F140" i="1"/>
  <c r="F136" i="1"/>
  <c r="F132" i="1"/>
  <c r="F128" i="1"/>
  <c r="F120" i="1"/>
  <c r="F116" i="1"/>
  <c r="F112" i="1"/>
  <c r="F108" i="1"/>
  <c r="F104" i="1"/>
  <c r="F96" i="1"/>
  <c r="F92" i="1"/>
  <c r="F88" i="1"/>
  <c r="F80" i="1"/>
  <c r="F72" i="1"/>
  <c r="F68" i="1"/>
  <c r="F64" i="1"/>
  <c r="F56" i="1"/>
  <c r="F52" i="1"/>
  <c r="F44" i="1"/>
  <c r="F36" i="1"/>
  <c r="F24" i="1"/>
  <c r="F12" i="1"/>
  <c r="G249" i="1"/>
  <c r="G245" i="1"/>
  <c r="G241" i="1"/>
  <c r="G233" i="1"/>
  <c r="G229" i="1"/>
  <c r="G225" i="1"/>
  <c r="G221" i="1"/>
  <c r="G213" i="1"/>
  <c r="G209" i="1"/>
  <c r="G205" i="1"/>
  <c r="G153" i="1"/>
  <c r="G149" i="1"/>
  <c r="G145" i="1"/>
  <c r="G141" i="1"/>
  <c r="G137" i="1"/>
  <c r="G133" i="1"/>
  <c r="G129" i="1"/>
  <c r="G125" i="1"/>
  <c r="G121" i="1"/>
  <c r="G117" i="1"/>
  <c r="G109" i="1"/>
  <c r="G105" i="1"/>
  <c r="G101" i="1"/>
  <c r="G97" i="1"/>
  <c r="G93" i="1"/>
  <c r="G89" i="1"/>
  <c r="G81" i="1"/>
  <c r="G77" i="1"/>
  <c r="G73" i="1"/>
  <c r="G69" i="1"/>
  <c r="G61" i="1"/>
  <c r="G57" i="1"/>
  <c r="G49" i="1"/>
  <c r="G45" i="1"/>
  <c r="G41" i="1"/>
  <c r="G37" i="1"/>
  <c r="G33" i="1"/>
  <c r="G25" i="1"/>
  <c r="G21" i="1"/>
  <c r="G17" i="1"/>
  <c r="G13" i="1"/>
  <c r="G9" i="1"/>
  <c r="D249" i="1"/>
  <c r="D245" i="1"/>
  <c r="D241" i="1"/>
  <c r="D233" i="1"/>
  <c r="D229" i="1"/>
  <c r="D225" i="1"/>
  <c r="D213" i="1"/>
  <c r="D205" i="1"/>
  <c r="D201" i="1"/>
  <c r="D197" i="1"/>
  <c r="D193" i="1"/>
  <c r="D189" i="1"/>
  <c r="D185" i="1"/>
  <c r="D181" i="1"/>
  <c r="D173" i="1"/>
  <c r="D165" i="1"/>
  <c r="D161" i="1"/>
  <c r="D157" i="1"/>
  <c r="D153" i="1"/>
  <c r="D149" i="1"/>
  <c r="D145" i="1"/>
  <c r="D141" i="1"/>
  <c r="D137" i="1"/>
  <c r="D133" i="1"/>
  <c r="D129" i="1"/>
  <c r="D125" i="1"/>
  <c r="D121" i="1"/>
  <c r="D117" i="1"/>
  <c r="D109" i="1"/>
  <c r="D105" i="1"/>
  <c r="D101" i="1"/>
  <c r="D97" i="1"/>
  <c r="D93" i="1"/>
  <c r="D89" i="1"/>
  <c r="D81" i="1"/>
  <c r="D77" i="1"/>
  <c r="D73" i="1"/>
  <c r="D69" i="1"/>
  <c r="D61" i="1"/>
  <c r="D57" i="1"/>
  <c r="D49" i="1"/>
  <c r="D45" i="1"/>
  <c r="D41" i="1"/>
  <c r="D37" i="1"/>
  <c r="D33" i="1"/>
  <c r="D25" i="1"/>
  <c r="D21" i="1"/>
  <c r="D17" i="1"/>
  <c r="D13" i="1"/>
  <c r="D9" i="1"/>
  <c r="F251" i="1"/>
  <c r="F247" i="1"/>
  <c r="F243" i="1"/>
  <c r="F239" i="1"/>
  <c r="F235" i="1"/>
  <c r="F231" i="1"/>
  <c r="F227" i="1"/>
  <c r="F207" i="1"/>
  <c r="F203" i="1"/>
  <c r="F199" i="1"/>
  <c r="F195" i="1"/>
  <c r="F191" i="1"/>
  <c r="F187" i="1"/>
  <c r="F175" i="1"/>
  <c r="F171" i="1"/>
  <c r="F167" i="1"/>
  <c r="F163" i="1"/>
  <c r="F159" i="1"/>
  <c r="F155" i="1"/>
  <c r="F151" i="1"/>
  <c r="F147" i="1"/>
  <c r="F143" i="1"/>
  <c r="F139" i="1"/>
  <c r="F135" i="1"/>
  <c r="F127" i="1"/>
  <c r="F123" i="1"/>
  <c r="F119" i="1"/>
  <c r="F111" i="1"/>
  <c r="F103" i="1"/>
  <c r="F99" i="1"/>
  <c r="F95" i="1"/>
  <c r="F91" i="1"/>
  <c r="F83" i="1"/>
  <c r="F71" i="1"/>
  <c r="F67" i="1"/>
  <c r="F63" i="1"/>
  <c r="F59" i="1"/>
  <c r="F55" i="1"/>
  <c r="F51" i="1"/>
  <c r="F47" i="1"/>
  <c r="F43" i="1"/>
  <c r="F31" i="1"/>
  <c r="F27" i="1"/>
  <c r="F23" i="1"/>
  <c r="F19" i="1"/>
  <c r="F11" i="1"/>
  <c r="G248" i="1"/>
  <c r="G244" i="1"/>
  <c r="G240" i="1"/>
  <c r="G236" i="1"/>
  <c r="G232" i="1"/>
  <c r="G228" i="1"/>
  <c r="G224" i="1"/>
  <c r="G220" i="1"/>
  <c r="G216" i="1"/>
  <c r="G212" i="1"/>
  <c r="G208" i="1"/>
  <c r="G204" i="1"/>
  <c r="G196" i="1"/>
  <c r="G192" i="1"/>
  <c r="G188" i="1"/>
  <c r="G180" i="1"/>
  <c r="G176" i="1"/>
  <c r="G168" i="1"/>
  <c r="G164" i="1"/>
  <c r="G160" i="1"/>
  <c r="G156" i="1"/>
  <c r="G152" i="1"/>
  <c r="G148" i="1"/>
  <c r="G144" i="1"/>
  <c r="G140" i="1"/>
  <c r="G136" i="1"/>
  <c r="G132" i="1"/>
  <c r="G128" i="1"/>
  <c r="G120" i="1"/>
  <c r="G116" i="1"/>
  <c r="G112" i="1"/>
  <c r="G108" i="1"/>
  <c r="G104" i="1"/>
  <c r="G96" i="1"/>
  <c r="G92" i="1"/>
  <c r="G88" i="1"/>
  <c r="G80" i="1"/>
  <c r="G72" i="1"/>
  <c r="G68" i="1"/>
  <c r="G64" i="1"/>
  <c r="G56" i="1"/>
  <c r="G52" i="1"/>
  <c r="G44" i="1"/>
  <c r="G36" i="1"/>
  <c r="G24" i="1"/>
  <c r="G16" i="1"/>
  <c r="G12" i="1"/>
  <c r="G214" i="1"/>
  <c r="G237" i="1"/>
  <c r="G217" i="1"/>
  <c r="G177" i="1"/>
  <c r="G169" i="1"/>
  <c r="D237" i="1"/>
  <c r="D221" i="1"/>
  <c r="F223" i="1"/>
  <c r="F219" i="1"/>
  <c r="F215" i="1"/>
  <c r="D214" i="1"/>
  <c r="D217" i="1"/>
  <c r="D177" i="1"/>
  <c r="D169" i="1"/>
  <c r="F2" i="1"/>
  <c r="F172" i="1"/>
  <c r="F84" i="1"/>
  <c r="F20" i="1"/>
  <c r="D209" i="1"/>
  <c r="F246" i="1"/>
  <c r="F162" i="1"/>
  <c r="D226" i="1"/>
  <c r="D113" i="1"/>
  <c r="D53" i="1"/>
  <c r="D29" i="1"/>
  <c r="F211" i="1"/>
  <c r="F107" i="1"/>
  <c r="F87" i="1"/>
  <c r="G113" i="1"/>
  <c r="G53" i="1"/>
  <c r="G29" i="1"/>
  <c r="D246" i="1"/>
  <c r="D234" i="1"/>
  <c r="D162" i="1"/>
  <c r="D134" i="1"/>
  <c r="D122" i="1"/>
  <c r="D110" i="1"/>
  <c r="D82" i="1"/>
  <c r="D6" i="1"/>
  <c r="D2" i="1"/>
  <c r="F200" i="1"/>
  <c r="F124" i="1"/>
  <c r="F48" i="1"/>
  <c r="F40" i="1"/>
  <c r="F28" i="1"/>
  <c r="G246" i="1"/>
  <c r="G234" i="1"/>
  <c r="G162" i="1"/>
  <c r="G134" i="1"/>
  <c r="G122" i="1"/>
  <c r="G110" i="1"/>
  <c r="G82" i="1"/>
  <c r="G6" i="1"/>
  <c r="G115" i="1"/>
  <c r="D48" i="1"/>
  <c r="D40" i="1"/>
  <c r="D28" i="1"/>
  <c r="F134" i="1"/>
  <c r="F110" i="1"/>
  <c r="F6" i="1"/>
  <c r="D126" i="1"/>
  <c r="D85" i="1"/>
  <c r="D65" i="1"/>
  <c r="F183" i="1"/>
  <c r="F115" i="1"/>
  <c r="F79" i="1"/>
  <c r="F39" i="1"/>
  <c r="G85" i="1"/>
  <c r="D200" i="1"/>
  <c r="D100" i="1"/>
  <c r="D84" i="1"/>
  <c r="D20" i="1"/>
  <c r="F126" i="1"/>
  <c r="F122" i="1"/>
  <c r="F82" i="1"/>
  <c r="G2" i="1"/>
  <c r="G200" i="1"/>
  <c r="G172" i="1"/>
  <c r="G124" i="1"/>
  <c r="G100" i="1"/>
  <c r="G84" i="1"/>
  <c r="G76" i="1"/>
  <c r="G60" i="1"/>
  <c r="G48" i="1"/>
  <c r="G40" i="1"/>
  <c r="G32" i="1"/>
  <c r="G28" i="1"/>
  <c r="G20" i="1"/>
  <c r="F100" i="1"/>
  <c r="F76" i="1"/>
  <c r="F60" i="1"/>
  <c r="F32" i="1"/>
  <c r="G126" i="1"/>
  <c r="F179" i="1"/>
  <c r="F131" i="1"/>
  <c r="F75" i="1"/>
  <c r="F35" i="1"/>
  <c r="G65" i="1"/>
  <c r="D172" i="1"/>
  <c r="D124" i="1"/>
  <c r="D76" i="1"/>
  <c r="D60" i="1"/>
  <c r="D32" i="1"/>
  <c r="F234" i="1"/>
  <c r="F214" i="1"/>
  <c r="D223" i="1"/>
  <c r="D219" i="1"/>
  <c r="D215" i="1"/>
  <c r="D211" i="1"/>
  <c r="D183" i="1"/>
  <c r="D179" i="1"/>
  <c r="D131" i="1"/>
  <c r="D115" i="1"/>
  <c r="D107" i="1"/>
  <c r="D87" i="1"/>
  <c r="D79" i="1"/>
  <c r="D75" i="1"/>
  <c r="D39" i="1"/>
  <c r="D35" i="1"/>
  <c r="F237" i="1"/>
  <c r="F221" i="1"/>
  <c r="F217" i="1"/>
  <c r="F177" i="1"/>
  <c r="F169" i="1"/>
  <c r="F113" i="1"/>
  <c r="F85" i="1"/>
  <c r="F65" i="1"/>
  <c r="F53" i="1"/>
  <c r="F29" i="1"/>
  <c r="G223" i="1"/>
  <c r="G219" i="1"/>
  <c r="G215" i="1"/>
  <c r="G211" i="1"/>
  <c r="G183" i="1"/>
  <c r="G179" i="1"/>
  <c r="G131" i="1"/>
  <c r="G107" i="1"/>
  <c r="G87" i="1"/>
  <c r="G79" i="1"/>
  <c r="G75" i="1"/>
  <c r="G39" i="1"/>
  <c r="G35" i="1"/>
</calcChain>
</file>

<file path=xl/sharedStrings.xml><?xml version="1.0" encoding="utf-8"?>
<sst xmlns="http://schemas.openxmlformats.org/spreadsheetml/2006/main" count="1871" uniqueCount="598">
  <si>
    <t>Customer_Name</t>
  </si>
  <si>
    <t>Gender</t>
  </si>
  <si>
    <t>Product_Name</t>
  </si>
  <si>
    <t>Location</t>
  </si>
  <si>
    <t>INV001</t>
  </si>
  <si>
    <t>Angelica Taylor</t>
  </si>
  <si>
    <t>Female</t>
  </si>
  <si>
    <t>Snacks</t>
  </si>
  <si>
    <t>Biscuits</t>
  </si>
  <si>
    <t>Cash</t>
  </si>
  <si>
    <t>Port Harcourt</t>
  </si>
  <si>
    <t>INV002</t>
  </si>
  <si>
    <t>Mary Williams</t>
  </si>
  <si>
    <t>Beverages</t>
  </si>
  <si>
    <t>Fanta</t>
  </si>
  <si>
    <t>Online</t>
  </si>
  <si>
    <t>Benin City</t>
  </si>
  <si>
    <t>INV003</t>
  </si>
  <si>
    <t>George King</t>
  </si>
  <si>
    <t>Male</t>
  </si>
  <si>
    <t>Transfer</t>
  </si>
  <si>
    <t xml:space="preserve">lagos </t>
  </si>
  <si>
    <t>INV004</t>
  </si>
  <si>
    <t>Angelica Morrison</t>
  </si>
  <si>
    <t>Household</t>
  </si>
  <si>
    <t>Ibadan</t>
  </si>
  <si>
    <t>INV005</t>
  </si>
  <si>
    <t>Madison Werner</t>
  </si>
  <si>
    <t>Toilet Paper</t>
  </si>
  <si>
    <t>Lagos</t>
  </si>
  <si>
    <t>INV006</t>
  </si>
  <si>
    <t>Carol Washington</t>
  </si>
  <si>
    <t>Soap</t>
  </si>
  <si>
    <t>INV007</t>
  </si>
  <si>
    <t>Dustin Cooper</t>
  </si>
  <si>
    <t>Coke</t>
  </si>
  <si>
    <t>INV008</t>
  </si>
  <si>
    <t>Veronica Lloyd</t>
  </si>
  <si>
    <t>Shampoo</t>
  </si>
  <si>
    <t>INV009</t>
  </si>
  <si>
    <t>Gregory Long</t>
  </si>
  <si>
    <t>Chin Chin</t>
  </si>
  <si>
    <t>POS</t>
  </si>
  <si>
    <t>INV010</t>
  </si>
  <si>
    <t>Amy Ortiz</t>
  </si>
  <si>
    <t>INV011</t>
  </si>
  <si>
    <t>Sharon Hartman</t>
  </si>
  <si>
    <t>INV012</t>
  </si>
  <si>
    <t>Mary Lawson</t>
  </si>
  <si>
    <t>Lotion</t>
  </si>
  <si>
    <t>INV013</t>
  </si>
  <si>
    <t>Cindy Ortiz</t>
  </si>
  <si>
    <t>INV014</t>
  </si>
  <si>
    <t>Sarah Hall</t>
  </si>
  <si>
    <t>INV015</t>
  </si>
  <si>
    <t>Air Freshener</t>
  </si>
  <si>
    <t>INV016</t>
  </si>
  <si>
    <t>Marcus Reed</t>
  </si>
  <si>
    <t>Abuja</t>
  </si>
  <si>
    <t>INV017</t>
  </si>
  <si>
    <t>Nicole Shelton</t>
  </si>
  <si>
    <t>INV018</t>
  </si>
  <si>
    <t>James Daniel</t>
  </si>
  <si>
    <t>Detergent</t>
  </si>
  <si>
    <t>INV019</t>
  </si>
  <si>
    <t>Christy Harris</t>
  </si>
  <si>
    <t>INV020</t>
  </si>
  <si>
    <t>Donna Woods</t>
  </si>
  <si>
    <t>Juice</t>
  </si>
  <si>
    <t>INV021</t>
  </si>
  <si>
    <t>Russell Price</t>
  </si>
  <si>
    <t>Cookies</t>
  </si>
  <si>
    <t>Kano</t>
  </si>
  <si>
    <t>INV022</t>
  </si>
  <si>
    <t>David Drake</t>
  </si>
  <si>
    <t>INV023</t>
  </si>
  <si>
    <t>Sarah Richardson</t>
  </si>
  <si>
    <t>INV024</t>
  </si>
  <si>
    <t>Jessica Hayes</t>
  </si>
  <si>
    <t>INV025</t>
  </si>
  <si>
    <t>INV026</t>
  </si>
  <si>
    <t>Dr. Zachary Alvarez MD</t>
  </si>
  <si>
    <t>Pepsi</t>
  </si>
  <si>
    <t>INV027</t>
  </si>
  <si>
    <t>Brandon Barnett</t>
  </si>
  <si>
    <t>INV028</t>
  </si>
  <si>
    <t>Robert Taylor</t>
  </si>
  <si>
    <t>INV029</t>
  </si>
  <si>
    <t>Amber Parker</t>
  </si>
  <si>
    <t>INV030</t>
  </si>
  <si>
    <t>INV031</t>
  </si>
  <si>
    <t>David Allen</t>
  </si>
  <si>
    <t>Granola Bar</t>
  </si>
  <si>
    <t>INV032</t>
  </si>
  <si>
    <t>Sean Coleman</t>
  </si>
  <si>
    <t>INV033</t>
  </si>
  <si>
    <t>Joseph Duran</t>
  </si>
  <si>
    <t>INV034</t>
  </si>
  <si>
    <t>Deborah Perez</t>
  </si>
  <si>
    <t>INV035</t>
  </si>
  <si>
    <t>Anthony Pugh</t>
  </si>
  <si>
    <t>INV036</t>
  </si>
  <si>
    <t xml:space="preserve">  Tyler Harvey  </t>
  </si>
  <si>
    <t>Chips</t>
  </si>
  <si>
    <t>INV037</t>
  </si>
  <si>
    <t>Ruth Garcia</t>
  </si>
  <si>
    <t>Water</t>
  </si>
  <si>
    <t>INV038</t>
  </si>
  <si>
    <t>Lindsey Henry</t>
  </si>
  <si>
    <t>INV039</t>
  </si>
  <si>
    <t>David Ruiz</t>
  </si>
  <si>
    <t>INV040</t>
  </si>
  <si>
    <t>Yolanda Ward</t>
  </si>
  <si>
    <t>INV041</t>
  </si>
  <si>
    <t>Christopher Young</t>
  </si>
  <si>
    <t>INV042</t>
  </si>
  <si>
    <t>Michael Hall</t>
  </si>
  <si>
    <t>Hand Sanitizer</t>
  </si>
  <si>
    <t>INV043</t>
  </si>
  <si>
    <t>Jessica Williams</t>
  </si>
  <si>
    <t>INV044</t>
  </si>
  <si>
    <t>Rebecca Charles</t>
  </si>
  <si>
    <t>INV045</t>
  </si>
  <si>
    <t>Michelle Duran</t>
  </si>
  <si>
    <t>INV046</t>
  </si>
  <si>
    <t>Keith Brown</t>
  </si>
  <si>
    <t>INV047</t>
  </si>
  <si>
    <t>Lisa Watson</t>
  </si>
  <si>
    <t>INV048</t>
  </si>
  <si>
    <t>Sarah Norris</t>
  </si>
  <si>
    <t>INV049</t>
  </si>
  <si>
    <t>Nicholas Wilson</t>
  </si>
  <si>
    <t>INV050</t>
  </si>
  <si>
    <t>Charles Hopkins</t>
  </si>
  <si>
    <t>Bleach</t>
  </si>
  <si>
    <t>INV051</t>
  </si>
  <si>
    <t>Andrew Little</t>
  </si>
  <si>
    <t>INV052</t>
  </si>
  <si>
    <t>Mitchell Campbell</t>
  </si>
  <si>
    <t>INV053</t>
  </si>
  <si>
    <t>Matthew Smith</t>
  </si>
  <si>
    <t>INV054</t>
  </si>
  <si>
    <t>Tamara Green</t>
  </si>
  <si>
    <t>INV055</t>
  </si>
  <si>
    <t>Madison Ward</t>
  </si>
  <si>
    <t>INV056</t>
  </si>
  <si>
    <t>Donna Herrera</t>
  </si>
  <si>
    <t>INV057</t>
  </si>
  <si>
    <t>Lisa Foster</t>
  </si>
  <si>
    <t>INV058</t>
  </si>
  <si>
    <t>Jeffrey Johnson</t>
  </si>
  <si>
    <t>INV059</t>
  </si>
  <si>
    <t>Steven Boyd</t>
  </si>
  <si>
    <t>INV060</t>
  </si>
  <si>
    <t>Michael Lawrence</t>
  </si>
  <si>
    <t>INV061</t>
  </si>
  <si>
    <t>Michael Villa</t>
  </si>
  <si>
    <t>INV062</t>
  </si>
  <si>
    <t>Joseph Johnson</t>
  </si>
  <si>
    <t>Deodorant</t>
  </si>
  <si>
    <t>INV063</t>
  </si>
  <si>
    <t>Michael Sharp</t>
  </si>
  <si>
    <t>INV064</t>
  </si>
  <si>
    <t>Katrina Andrews</t>
  </si>
  <si>
    <t>Toothpaste</t>
  </si>
  <si>
    <t>INV065</t>
  </si>
  <si>
    <t>Beth Ruiz</t>
  </si>
  <si>
    <t>INV066</t>
  </si>
  <si>
    <t>Alexis Pena</t>
  </si>
  <si>
    <t>INV067</t>
  </si>
  <si>
    <t>Keith Chang</t>
  </si>
  <si>
    <t>INV068</t>
  </si>
  <si>
    <t>Kaitlyn Figueroa</t>
  </si>
  <si>
    <t>INV069</t>
  </si>
  <si>
    <t>Scott West</t>
  </si>
  <si>
    <t>INV070</t>
  </si>
  <si>
    <t>Rachael Shepherd</t>
  </si>
  <si>
    <t>INV071</t>
  </si>
  <si>
    <t>Jennifer Floyd</t>
  </si>
  <si>
    <t>INV072</t>
  </si>
  <si>
    <t>Philip Harmon</t>
  </si>
  <si>
    <t>INV073</t>
  </si>
  <si>
    <t>Gary Watson</t>
  </si>
  <si>
    <t>INV074</t>
  </si>
  <si>
    <t>Beth Lopez</t>
  </si>
  <si>
    <t>INV075</t>
  </si>
  <si>
    <t>Miguel Christian</t>
  </si>
  <si>
    <t>INV076</t>
  </si>
  <si>
    <t>David White</t>
  </si>
  <si>
    <t>INV077</t>
  </si>
  <si>
    <t>Crystal Horton</t>
  </si>
  <si>
    <t>INV078</t>
  </si>
  <si>
    <t>Melissa Clarke DVM</t>
  </si>
  <si>
    <t>INV079</t>
  </si>
  <si>
    <t>John Evans</t>
  </si>
  <si>
    <t>INV080</t>
  </si>
  <si>
    <t>Lisa Jimenez</t>
  </si>
  <si>
    <t>INV081</t>
  </si>
  <si>
    <t>Kimberly Wilson</t>
  </si>
  <si>
    <t>INV082</t>
  </si>
  <si>
    <t>Jennifer Thomas</t>
  </si>
  <si>
    <t>INV083</t>
  </si>
  <si>
    <t>James Molina</t>
  </si>
  <si>
    <t>INV084</t>
  </si>
  <si>
    <t>Stephen Bradley</t>
  </si>
  <si>
    <t>INV085</t>
  </si>
  <si>
    <t>Sean Schroeder</t>
  </si>
  <si>
    <t>INV086</t>
  </si>
  <si>
    <t>Patrick Spence</t>
  </si>
  <si>
    <t>INV087</t>
  </si>
  <si>
    <t>Jeffery Campbell</t>
  </si>
  <si>
    <t>INV088</t>
  </si>
  <si>
    <t>Kevin Sandoval</t>
  </si>
  <si>
    <t>male</t>
  </si>
  <si>
    <t>INV089</t>
  </si>
  <si>
    <t>Wendy Mayer</t>
  </si>
  <si>
    <t>INV090</t>
  </si>
  <si>
    <t xml:space="preserve">  Joe Simpson  </t>
  </si>
  <si>
    <t>INV091</t>
  </si>
  <si>
    <t>Sandra Frederick</t>
  </si>
  <si>
    <t>INV092</t>
  </si>
  <si>
    <t>Jennifer Taylor</t>
  </si>
  <si>
    <t>INV093</t>
  </si>
  <si>
    <t>Kenneth Chavez</t>
  </si>
  <si>
    <t>INV094</t>
  </si>
  <si>
    <t>Brian Moore</t>
  </si>
  <si>
    <t>INV095</t>
  </si>
  <si>
    <t>Justin Stevenson</t>
  </si>
  <si>
    <t>INV096</t>
  </si>
  <si>
    <t>Brian Orr</t>
  </si>
  <si>
    <t>INV097</t>
  </si>
  <si>
    <t>Erika Lowery</t>
  </si>
  <si>
    <t>INV098</t>
  </si>
  <si>
    <t>Gregory Brown</t>
  </si>
  <si>
    <t>INV099</t>
  </si>
  <si>
    <t>Kathleen Smith</t>
  </si>
  <si>
    <t>INV100</t>
  </si>
  <si>
    <t>Melanie Martin</t>
  </si>
  <si>
    <t>INV101</t>
  </si>
  <si>
    <t xml:space="preserve">  Chase Hall  </t>
  </si>
  <si>
    <t>INV102</t>
  </si>
  <si>
    <t>Erik Nguyen</t>
  </si>
  <si>
    <t>INV103</t>
  </si>
  <si>
    <t>Felicia Duncan</t>
  </si>
  <si>
    <t>INV104</t>
  </si>
  <si>
    <t>Jennifer Flores</t>
  </si>
  <si>
    <t>INV105</t>
  </si>
  <si>
    <t>Robert Owens</t>
  </si>
  <si>
    <t>INV106</t>
  </si>
  <si>
    <t>Linda Adams</t>
  </si>
  <si>
    <t>INV107</t>
  </si>
  <si>
    <t>Mary Johnson</t>
  </si>
  <si>
    <t>INV108</t>
  </si>
  <si>
    <t>Michael Leach</t>
  </si>
  <si>
    <t>INV109</t>
  </si>
  <si>
    <t>Matthew Tyler</t>
  </si>
  <si>
    <t>INV110</t>
  </si>
  <si>
    <t>Jonathan Peterson</t>
  </si>
  <si>
    <t>INV111</t>
  </si>
  <si>
    <t>Lindsay Martinez</t>
  </si>
  <si>
    <t>INV112</t>
  </si>
  <si>
    <t>Daniel Anderson</t>
  </si>
  <si>
    <t>INV113</t>
  </si>
  <si>
    <t>Megan Vaughn</t>
  </si>
  <si>
    <t>INV114</t>
  </si>
  <si>
    <t>Linda Rodriguez</t>
  </si>
  <si>
    <t>INV115</t>
  </si>
  <si>
    <t>Amy Lewis</t>
  </si>
  <si>
    <t>INV116</t>
  </si>
  <si>
    <t>Phillip Walker</t>
  </si>
  <si>
    <t>INV117</t>
  </si>
  <si>
    <t>Melissa Miller</t>
  </si>
  <si>
    <t>INV118</t>
  </si>
  <si>
    <t>Sara Miller</t>
  </si>
  <si>
    <t>INV119</t>
  </si>
  <si>
    <t>Lori Garner</t>
  </si>
  <si>
    <t>INV120</t>
  </si>
  <si>
    <t xml:space="preserve">  Tyrone Soto  </t>
  </si>
  <si>
    <t>INV121</t>
  </si>
  <si>
    <t>Karen Hansen</t>
  </si>
  <si>
    <t xml:space="preserve"> </t>
  </si>
  <si>
    <t>INV122</t>
  </si>
  <si>
    <t>Steven Parker</t>
  </si>
  <si>
    <t>INV123</t>
  </si>
  <si>
    <t>Stacy Fischer</t>
  </si>
  <si>
    <t>INV124</t>
  </si>
  <si>
    <t>Amanda Waller</t>
  </si>
  <si>
    <t>INV125</t>
  </si>
  <si>
    <t>Terrence Kidd</t>
  </si>
  <si>
    <t>INV126</t>
  </si>
  <si>
    <t>Kylie Bennett</t>
  </si>
  <si>
    <t>INV127</t>
  </si>
  <si>
    <t>Troy Gibson</t>
  </si>
  <si>
    <t>INV128</t>
  </si>
  <si>
    <t>Penny Hernandez</t>
  </si>
  <si>
    <t>INV129</t>
  </si>
  <si>
    <t>Kenneth Morton</t>
  </si>
  <si>
    <t>INV130</t>
  </si>
  <si>
    <t>Katherine Curry</t>
  </si>
  <si>
    <t>INV131</t>
  </si>
  <si>
    <t>Heather Shaw</t>
  </si>
  <si>
    <t>INV132</t>
  </si>
  <si>
    <t>Seth Anderson</t>
  </si>
  <si>
    <t>INV133</t>
  </si>
  <si>
    <t>Beth Tyler</t>
  </si>
  <si>
    <t>INV134</t>
  </si>
  <si>
    <t>Donald Ingram</t>
  </si>
  <si>
    <t>INV135</t>
  </si>
  <si>
    <t>Randy Hudson</t>
  </si>
  <si>
    <t>INV136</t>
  </si>
  <si>
    <t>Laura Flores</t>
  </si>
  <si>
    <t>INV137</t>
  </si>
  <si>
    <t>Martin Young</t>
  </si>
  <si>
    <t>INV138</t>
  </si>
  <si>
    <t>Jason Morales</t>
  </si>
  <si>
    <t>INV139</t>
  </si>
  <si>
    <t>Laura Lewis</t>
  </si>
  <si>
    <t>INV140</t>
  </si>
  <si>
    <t>Richard Thompson</t>
  </si>
  <si>
    <t>INV141</t>
  </si>
  <si>
    <t>Tyler Patterson</t>
  </si>
  <si>
    <t>INV142</t>
  </si>
  <si>
    <t>Mr. Christopher Williams MD</t>
  </si>
  <si>
    <t>INV143</t>
  </si>
  <si>
    <t>Kevin Larson</t>
  </si>
  <si>
    <t>INV144</t>
  </si>
  <si>
    <t>Nathan Smith DDS</t>
  </si>
  <si>
    <t>INV145</t>
  </si>
  <si>
    <t>INV146</t>
  </si>
  <si>
    <t>Douglas Price</t>
  </si>
  <si>
    <t>INV147</t>
  </si>
  <si>
    <t>Laura Molina</t>
  </si>
  <si>
    <t>INV148</t>
  </si>
  <si>
    <t>Edward Proctor</t>
  </si>
  <si>
    <t>INV149</t>
  </si>
  <si>
    <t>Matthew Powers</t>
  </si>
  <si>
    <t>INV150</t>
  </si>
  <si>
    <t>Shawn Maldonado</t>
  </si>
  <si>
    <t>INV151</t>
  </si>
  <si>
    <t>Zachary Hamilton</t>
  </si>
  <si>
    <t>INV152</t>
  </si>
  <si>
    <t>Drew Tanner</t>
  </si>
  <si>
    <t>INV153</t>
  </si>
  <si>
    <t>Danielle Gonzales</t>
  </si>
  <si>
    <t>INV154</t>
  </si>
  <si>
    <t>Brianna Davis</t>
  </si>
  <si>
    <t>INV155</t>
  </si>
  <si>
    <t>Tammy White</t>
  </si>
  <si>
    <t>INV156</t>
  </si>
  <si>
    <t>Nicole Larson</t>
  </si>
  <si>
    <t>INV157</t>
  </si>
  <si>
    <t>Arthur Morris</t>
  </si>
  <si>
    <t>INV158</t>
  </si>
  <si>
    <t>Lindsay Mason</t>
  </si>
  <si>
    <t>INV159</t>
  </si>
  <si>
    <t>Stephen Williams</t>
  </si>
  <si>
    <t>INV160</t>
  </si>
  <si>
    <t>Gary Dillon</t>
  </si>
  <si>
    <t>INV161</t>
  </si>
  <si>
    <t>Joseph Contreras</t>
  </si>
  <si>
    <t>INV162</t>
  </si>
  <si>
    <t>Benjamin Vargas</t>
  </si>
  <si>
    <t>INV163</t>
  </si>
  <si>
    <t>Kimberly Vasquez</t>
  </si>
  <si>
    <t>ibadan</t>
  </si>
  <si>
    <t>INV164</t>
  </si>
  <si>
    <t>Nina Shaw</t>
  </si>
  <si>
    <t>INV165</t>
  </si>
  <si>
    <t>Juan Harvey</t>
  </si>
  <si>
    <t>INV166</t>
  </si>
  <si>
    <t>Raymond Gray</t>
  </si>
  <si>
    <t>INV167</t>
  </si>
  <si>
    <t>Matthew Davis</t>
  </si>
  <si>
    <t>INV168</t>
  </si>
  <si>
    <t>Michelle Long</t>
  </si>
  <si>
    <t>INV169</t>
  </si>
  <si>
    <t>Harold Vargas</t>
  </si>
  <si>
    <t>INV170</t>
  </si>
  <si>
    <t>Johnny Garcia</t>
  </si>
  <si>
    <t>INV171</t>
  </si>
  <si>
    <t>Samantha Moore</t>
  </si>
  <si>
    <t>INV172</t>
  </si>
  <si>
    <t>Eric Willis</t>
  </si>
  <si>
    <t>INV173</t>
  </si>
  <si>
    <t>Lauren Murphy</t>
  </si>
  <si>
    <t>INV174</t>
  </si>
  <si>
    <t>Nicholas Ramirez</t>
  </si>
  <si>
    <t>INV175</t>
  </si>
  <si>
    <t>Karen Garner</t>
  </si>
  <si>
    <t>INV176</t>
  </si>
  <si>
    <t>David Berry</t>
  </si>
  <si>
    <t>INV177</t>
  </si>
  <si>
    <t>Joseph Perkins</t>
  </si>
  <si>
    <t>INV178</t>
  </si>
  <si>
    <t>Jerry Johnson</t>
  </si>
  <si>
    <t>INV179</t>
  </si>
  <si>
    <t>Sharon Conner</t>
  </si>
  <si>
    <t>INV180</t>
  </si>
  <si>
    <t>Debra Lutz</t>
  </si>
  <si>
    <t>INV181</t>
  </si>
  <si>
    <t>Emily Hill</t>
  </si>
  <si>
    <t>INV182</t>
  </si>
  <si>
    <t>Nancy Carter</t>
  </si>
  <si>
    <t>INV183</t>
  </si>
  <si>
    <t>James Carpenter</t>
  </si>
  <si>
    <t>INV184</t>
  </si>
  <si>
    <t>Dr. Evelyn Reed DDS</t>
  </si>
  <si>
    <t>INV185</t>
  </si>
  <si>
    <t>William Fuentes</t>
  </si>
  <si>
    <t>INV186</t>
  </si>
  <si>
    <t>Jackie Stevens</t>
  </si>
  <si>
    <t>INV187</t>
  </si>
  <si>
    <t>Samantha King</t>
  </si>
  <si>
    <t>INV188</t>
  </si>
  <si>
    <t>Emily Cook</t>
  </si>
  <si>
    <t>INV189</t>
  </si>
  <si>
    <t xml:space="preserve">  April Flores  </t>
  </si>
  <si>
    <t>INV190</t>
  </si>
  <si>
    <t>Heather Phillips</t>
  </si>
  <si>
    <t>INV191</t>
  </si>
  <si>
    <t>Sarah Robinson</t>
  </si>
  <si>
    <t>INV192</t>
  </si>
  <si>
    <t>Dawn Landry</t>
  </si>
  <si>
    <t>INV193</t>
  </si>
  <si>
    <t>Michelle Davis</t>
  </si>
  <si>
    <t>INV194</t>
  </si>
  <si>
    <t>Brent Perez</t>
  </si>
  <si>
    <t>INV195</t>
  </si>
  <si>
    <t>Daniel Wong</t>
  </si>
  <si>
    <t>INV196</t>
  </si>
  <si>
    <t>Michael Edwards</t>
  </si>
  <si>
    <t>INV197</t>
  </si>
  <si>
    <t>Morgan Hogan</t>
  </si>
  <si>
    <t>INV198</t>
  </si>
  <si>
    <t>Gary Jordan</t>
  </si>
  <si>
    <t>INV199</t>
  </si>
  <si>
    <t>Joshua Murphy</t>
  </si>
  <si>
    <t>INV200</t>
  </si>
  <si>
    <t>Amy Suarez</t>
  </si>
  <si>
    <t>INV201</t>
  </si>
  <si>
    <t>Stephanie Joseph</t>
  </si>
  <si>
    <t>INV202</t>
  </si>
  <si>
    <t>Tina Gonzalez</t>
  </si>
  <si>
    <t>INV203</t>
  </si>
  <si>
    <t>Timothy Chandler</t>
  </si>
  <si>
    <t>INV204</t>
  </si>
  <si>
    <t xml:space="preserve">  Sarah Castillo  </t>
  </si>
  <si>
    <t>INV205</t>
  </si>
  <si>
    <t>Kelsey Schaefer</t>
  </si>
  <si>
    <t>INV206</t>
  </si>
  <si>
    <t>Nicholas Brady</t>
  </si>
  <si>
    <t>INV207</t>
  </si>
  <si>
    <t>Eric Larson</t>
  </si>
  <si>
    <t>INV208</t>
  </si>
  <si>
    <t>Jonathan Vargas</t>
  </si>
  <si>
    <t>INV209</t>
  </si>
  <si>
    <t>Donna Koch</t>
  </si>
  <si>
    <t>INV210</t>
  </si>
  <si>
    <t>Mark Santiago</t>
  </si>
  <si>
    <t>INV211</t>
  </si>
  <si>
    <t>Robert Diaz</t>
  </si>
  <si>
    <t>INV212</t>
  </si>
  <si>
    <t>John Wright</t>
  </si>
  <si>
    <t>INV213</t>
  </si>
  <si>
    <t>David Blair</t>
  </si>
  <si>
    <t>INV214</t>
  </si>
  <si>
    <t>John Thornton</t>
  </si>
  <si>
    <t>INV215</t>
  </si>
  <si>
    <t>Erin Jennings</t>
  </si>
  <si>
    <t>INV216</t>
  </si>
  <si>
    <t>Brianna Romero</t>
  </si>
  <si>
    <t>INV217</t>
  </si>
  <si>
    <t>Kim Berger MD</t>
  </si>
  <si>
    <t>INV218</t>
  </si>
  <si>
    <t>Fernando Pugh</t>
  </si>
  <si>
    <t>INV219</t>
  </si>
  <si>
    <t>Richard Bolton</t>
  </si>
  <si>
    <t>INV220</t>
  </si>
  <si>
    <t>Jordan Tanner</t>
  </si>
  <si>
    <t>INV221</t>
  </si>
  <si>
    <t>Donna Lee</t>
  </si>
  <si>
    <t>INV222</t>
  </si>
  <si>
    <t>John Odom</t>
  </si>
  <si>
    <t>INV223</t>
  </si>
  <si>
    <t>Noah Moody</t>
  </si>
  <si>
    <t>INV224</t>
  </si>
  <si>
    <t>Micheal Rivera</t>
  </si>
  <si>
    <t>INV225</t>
  </si>
  <si>
    <t>Amanda Johnson</t>
  </si>
  <si>
    <t>INV226</t>
  </si>
  <si>
    <t>Tonya Clark</t>
  </si>
  <si>
    <t>INV227</t>
  </si>
  <si>
    <t>David Webb</t>
  </si>
  <si>
    <t>INV228</t>
  </si>
  <si>
    <t>Amy Oliver</t>
  </si>
  <si>
    <t>INV229</t>
  </si>
  <si>
    <t>Angel Scott</t>
  </si>
  <si>
    <t>INV230</t>
  </si>
  <si>
    <t xml:space="preserve">  Cole Singleton  </t>
  </si>
  <si>
    <t>INV231</t>
  </si>
  <si>
    <t>Kyle Chapman</t>
  </si>
  <si>
    <t>INV232</t>
  </si>
  <si>
    <t>Hector Park</t>
  </si>
  <si>
    <t>INV233</t>
  </si>
  <si>
    <t>Sean Hopkins</t>
  </si>
  <si>
    <t>INV234</t>
  </si>
  <si>
    <t>Amy Hart</t>
  </si>
  <si>
    <t>INV235</t>
  </si>
  <si>
    <t>Heather Chavez</t>
  </si>
  <si>
    <t>INV236</t>
  </si>
  <si>
    <t>Elizabeth Harmon</t>
  </si>
  <si>
    <t>INV237</t>
  </si>
  <si>
    <t>Annette Patterson</t>
  </si>
  <si>
    <t>INV238</t>
  </si>
  <si>
    <t>Chad Cisneros</t>
  </si>
  <si>
    <t>INV239</t>
  </si>
  <si>
    <t>Tracy Cunningham</t>
  </si>
  <si>
    <t>INV240</t>
  </si>
  <si>
    <t>Morgan Myers</t>
  </si>
  <si>
    <t>INV241</t>
  </si>
  <si>
    <t>Darrell Kennedy</t>
  </si>
  <si>
    <t>INV242</t>
  </si>
  <si>
    <t>Christine Hammond</t>
  </si>
  <si>
    <t>INV243</t>
  </si>
  <si>
    <t>INV244</t>
  </si>
  <si>
    <t>Carol Watson</t>
  </si>
  <si>
    <t>INV245</t>
  </si>
  <si>
    <t>Jonathan Lee</t>
  </si>
  <si>
    <t>Michael Alvarado</t>
  </si>
  <si>
    <t xml:space="preserve">  David Blair  </t>
  </si>
  <si>
    <t xml:space="preserve"> Amber Morrison  </t>
  </si>
  <si>
    <t xml:space="preserve"> Mary Carlson  </t>
  </si>
  <si>
    <t>290</t>
  </si>
  <si>
    <t>LAGOS</t>
  </si>
  <si>
    <t>BENIN CITY</t>
  </si>
  <si>
    <t>ABUJA</t>
  </si>
  <si>
    <t>LOCATION</t>
  </si>
  <si>
    <t>DATE</t>
  </si>
  <si>
    <t>PAYMENT_METHOD</t>
  </si>
  <si>
    <t>UNIT_PRICE</t>
  </si>
  <si>
    <t>QUANTITY</t>
  </si>
  <si>
    <t>PRODUCT_NAME</t>
  </si>
  <si>
    <t>PRODUCT_CATEGORY</t>
  </si>
  <si>
    <t>GENDER</t>
  </si>
  <si>
    <t>CUSTOMER_NAME</t>
  </si>
  <si>
    <t>INVOICE_ID</t>
  </si>
  <si>
    <t>toilet paper</t>
  </si>
  <si>
    <t>chips</t>
  </si>
  <si>
    <t>detergent</t>
  </si>
  <si>
    <t>lagos</t>
  </si>
  <si>
    <t>S/N</t>
  </si>
  <si>
    <t>Row Labels</t>
  </si>
  <si>
    <t>Grand Total</t>
  </si>
  <si>
    <t>IBADAN</t>
  </si>
  <si>
    <t>Product_Category</t>
  </si>
  <si>
    <t>Personal Care</t>
  </si>
  <si>
    <t>TOTAL_AMOUNT</t>
  </si>
  <si>
    <t>AIR FRESHENER</t>
  </si>
  <si>
    <t>BISCUITS</t>
  </si>
  <si>
    <t>BLEACH</t>
  </si>
  <si>
    <t>CHIN CHIN</t>
  </si>
  <si>
    <t>CHIPS</t>
  </si>
  <si>
    <t>COKE</t>
  </si>
  <si>
    <t>COOKIES</t>
  </si>
  <si>
    <t>DEODORANT</t>
  </si>
  <si>
    <t>DETERGENT</t>
  </si>
  <si>
    <t>FANTA</t>
  </si>
  <si>
    <t>GRANOLA BAR</t>
  </si>
  <si>
    <t>HAND SANITIZER</t>
  </si>
  <si>
    <t>JUICE</t>
  </si>
  <si>
    <t>LOTION</t>
  </si>
  <si>
    <t>PEPSI</t>
  </si>
  <si>
    <t>SHAMPOO</t>
  </si>
  <si>
    <t>SOAP</t>
  </si>
  <si>
    <t>TOILET PAPER</t>
  </si>
  <si>
    <t>TOOTHPASTE</t>
  </si>
  <si>
    <t>WATER</t>
  </si>
  <si>
    <t>Sum of QUANTITY</t>
  </si>
  <si>
    <t>KANO</t>
  </si>
  <si>
    <t xml:space="preserve">LAGOS </t>
  </si>
  <si>
    <t>PORT HARCOURT</t>
  </si>
  <si>
    <t>BEVERAGES</t>
  </si>
  <si>
    <t>HOUSEHOLD</t>
  </si>
  <si>
    <t>PERSONAL CARE</t>
  </si>
  <si>
    <t>SNACKS</t>
  </si>
  <si>
    <t>FEMALE</t>
  </si>
  <si>
    <t>MALE</t>
  </si>
  <si>
    <t>(All)</t>
  </si>
  <si>
    <t>COUNT P_CATEGORY</t>
  </si>
  <si>
    <t>SUM TOTAL_AMOUNT</t>
  </si>
  <si>
    <t>SUM QUANTITY</t>
  </si>
  <si>
    <t>SUPER MARKET SALES DASHBOARD</t>
  </si>
  <si>
    <t>Count of PRODUCT_CATEGORY</t>
  </si>
  <si>
    <t>INSIGHT</t>
  </si>
  <si>
    <t xml:space="preserve">           The super market had a great sales of their products in stock with chin-chin been the highest sold item off 228 quantities and toothpaste been the least sold items of 35 quantities.</t>
  </si>
  <si>
    <t xml:space="preserve">           Snacks had the highest amount sold with a total of #299,828. The supermarket had a low cash payment rate which means mobile transfer was often used by customers to purchase their items.</t>
  </si>
  <si>
    <t xml:space="preserve">           Abuja residents patronized the supermarket more than that if Abuja, Ibadan, Benin-city, Kano, Lagos and Port-Harcourt residents.</t>
  </si>
  <si>
    <t xml:space="preserve">           More of Snacks and household products should be made readily available in stock because they had the biggest sales, which means customers often demand more of them.</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</si>
</sst>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b/>
      <sz val="20"/>
      <color theme="1"/>
      <name val="Arial Black"/>
      <family val="2"/>
    </font>
    <font>
      <sz val="14"/>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0" fillId="0" borderId="0" xfId="0"/>
    <xf numFmtId="0" fontId="1" fillId="0" borderId="1" xfId="0" applyFont="1" applyBorder="1" applyAlignment="1">
      <alignment horizontal="center" vertical="top"/>
    </xf>
    <xf numFmtId="0" fontId="0" fillId="0" borderId="0" xfId="0" applyAlignment="1">
      <alignment horizontal="center" vertical="center"/>
    </xf>
    <xf numFmtId="0" fontId="0" fillId="0" borderId="0" xfId="0" applyAlignment="1">
      <alignment horizontal="left"/>
    </xf>
    <xf numFmtId="0" fontId="0" fillId="0" borderId="0" xfId="0" applyAlignment="1">
      <alignment horizontal="left" vertical="center"/>
    </xf>
    <xf numFmtId="0" fontId="0" fillId="0" borderId="0" xfId="0" applyAlignment="1">
      <alignment horizontal="center"/>
    </xf>
    <xf numFmtId="49" fontId="0" fillId="0" borderId="0" xfId="0" applyNumberFormat="1"/>
    <xf numFmtId="1" fontId="0" fillId="0" borderId="0" xfId="0" applyNumberFormat="1" applyAlignment="1">
      <alignment horizontal="center"/>
    </xf>
    <xf numFmtId="14" fontId="0" fillId="0" borderId="0" xfId="0" applyNumberFormat="1" applyAlignment="1">
      <alignment horizontal="center" vertical="center"/>
    </xf>
    <xf numFmtId="0" fontId="0" fillId="0" borderId="0" xfId="0" applyFill="1" applyBorder="1"/>
    <xf numFmtId="0" fontId="1" fillId="0" borderId="0" xfId="0" applyFont="1" applyAlignment="1">
      <alignment horizontal="center"/>
    </xf>
    <xf numFmtId="0" fontId="0" fillId="0" borderId="0" xfId="0" pivotButton="1"/>
    <xf numFmtId="0" fontId="0" fillId="0" borderId="0" xfId="0" applyNumberFormat="1"/>
    <xf numFmtId="1" fontId="0" fillId="0" borderId="0" xfId="0" applyNumberFormat="1"/>
    <xf numFmtId="49" fontId="0" fillId="0" borderId="0" xfId="0" applyNumberFormat="1" applyAlignment="1">
      <alignment horizontal="center"/>
    </xf>
    <xf numFmtId="0" fontId="0" fillId="0" borderId="0" xfId="0"/>
    <xf numFmtId="0" fontId="1" fillId="0" borderId="1" xfId="0" applyFont="1" applyBorder="1" applyAlignment="1">
      <alignment horizontal="center" vertical="top"/>
    </xf>
    <xf numFmtId="0" fontId="0" fillId="0" borderId="0" xfId="0" applyNumberFormat="1" applyAlignment="1">
      <alignment horizontal="center"/>
    </xf>
    <xf numFmtId="0" fontId="0" fillId="0" borderId="0" xfId="0" applyNumberFormat="1" applyAlignment="1">
      <alignment horizontal="right"/>
    </xf>
    <xf numFmtId="0" fontId="0" fillId="0" borderId="0" xfId="0" applyAlignment="1">
      <alignment horizontal="right"/>
    </xf>
    <xf numFmtId="0" fontId="2" fillId="2" borderId="0" xfId="0" applyFont="1" applyFill="1" applyAlignment="1">
      <alignment horizontal="center" vertical="center"/>
    </xf>
    <xf numFmtId="0" fontId="0" fillId="2" borderId="0" xfId="0" applyFill="1" applyAlignment="1">
      <alignment horizontal="center" vertical="center"/>
    </xf>
    <xf numFmtId="0" fontId="3" fillId="0" borderId="0" xfId="0" applyFont="1" applyAlignment="1">
      <alignment vertical="center"/>
    </xf>
    <xf numFmtId="0" fontId="3" fillId="0" borderId="0" xfId="0" applyFont="1"/>
    <xf numFmtId="0" fontId="4" fillId="0" borderId="0" xfId="0" applyFont="1" applyAlignment="1">
      <alignment horizontal="center" vertical="center"/>
    </xf>
  </cellXfs>
  <cellStyles count="1">
    <cellStyle name="Normal" xfId="0" builtinId="0"/>
  </cellStyles>
  <dxfs count="677">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numFmt numFmtId="1" formatCode="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alignment horizontal="center" readingOrder="0"/>
    </dxf>
    <dxf>
      <alignment horizontal="center" readingOrder="0"/>
    </dxf>
    <dxf>
      <alignment horizontal="center" readingOrder="0"/>
    </dxf>
    <dxf>
      <numFmt numFmtId="1" formatCode="0"/>
    </dxf>
    <dxf>
      <alignment horizontal="center" readingOrder="0"/>
    </dxf>
    <dxf>
      <alignment horizontal="center" readingOrder="0"/>
    </dxf>
    <dxf>
      <alignment horizontal="right"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center" readingOrder="0"/>
    </dxf>
    <dxf>
      <numFmt numFmtId="19" formatCode="m/d/yyyy"/>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center" readingOrder="0"/>
    </dxf>
    <dxf>
      <alignment horizontal="right" readingOrder="0"/>
    </dxf>
    <dxf>
      <alignment horizontal="right" readingOrder="0"/>
    </dxf>
    <dxf>
      <alignment horizontal="right" readingOrder="0"/>
    </dxf>
    <dxf>
      <numFmt numFmtId="1" formatCode="0"/>
    </dxf>
    <dxf>
      <alignment horizontal="center" readingOrder="0"/>
    </dxf>
    <dxf>
      <alignment horizontal="center" readingOrder="0"/>
    </dxf>
    <dxf>
      <alignment horizontal="center" readingOrder="0"/>
    </dxf>
    <dxf>
      <font>
        <b/>
        <i val="0"/>
      </font>
      <fill>
        <patternFill>
          <bgColor theme="9" tint="0.39994506668294322"/>
        </patternFill>
      </fill>
    </dxf>
    <dxf>
      <font>
        <b val="0"/>
        <i val="0"/>
      </font>
      <fill>
        <patternFill patternType="none">
          <bgColor auto="1"/>
        </patternFill>
      </fill>
    </dxf>
    <dxf>
      <font>
        <color theme="9" tint="0.59996337778862885"/>
      </font>
    </dxf>
    <dxf>
      <font>
        <color theme="9" tint="0.59996337778862885"/>
      </font>
    </dxf>
    <dxf>
      <font>
        <color rgb="FF92D050"/>
      </font>
    </dxf>
    <dxf>
      <font>
        <color theme="0"/>
      </font>
    </dxf>
  </dxfs>
  <tableStyles count="3" defaultTableStyle="TableStyleMedium2" defaultPivotStyle="PivotStyleLight16">
    <tableStyle name="Slicer Style 1" pivot="0" table="0" count="2">
      <tableStyleElement type="wholeTable" dxfId="676"/>
      <tableStyleElement type="headerRow" dxfId="675"/>
    </tableStyle>
    <tableStyle name="Slicer Style 2" pivot="0" table="0" count="2">
      <tableStyleElement type="wholeTable" dxfId="674"/>
      <tableStyleElement type="headerRow" dxfId="673"/>
    </tableStyle>
    <tableStyle name="Slicer Style 3" pivot="0" table="0" count="3">
      <tableStyleElement type="wholeTable" dxfId="672"/>
      <tableStyleElement type="headerRow" dxfId="671"/>
    </tableStyle>
  </tableStyles>
  <colors>
    <mruColors>
      <color rgb="FFF1ED33"/>
      <color rgb="FF66FF66"/>
      <color rgb="FF6CA9F2"/>
    </mruColors>
  </colors>
  <extLst>
    <ext xmlns:x14="http://schemas.microsoft.com/office/spreadsheetml/2009/9/main" uri="{46F421CA-312F-682f-3DD2-61675219B42D}">
      <x14:dxfs count="1">
        <dxf>
          <font>
            <b/>
            <i val="0"/>
          </font>
          <fill>
            <patternFill patternType="none">
              <bgColor auto="1"/>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ANALYSIS</a:t>
            </a:r>
          </a:p>
        </c:rich>
      </c:tx>
      <c:layout/>
      <c:overlay val="0"/>
      <c:spPr>
        <a:solidFill>
          <a:srgbClr val="66FF66"/>
        </a:solid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4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5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5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5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6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[DDDDD NEW.xlsx]PIVOT TABLE!PivotTable1</c:name>
    <c:fmtId val="2"/>
  </c:pivotSource>
  <c:chart>
    <c:autoTitleDeleted val="1"/>
    <c:pivotFmts>
      <c:pivotFmt>
        <c:idx val="0"/>
      </c:pivotFmt>
      <c:pivotFmt>
        <c:idx val="1"/>
        <c:spPr>
          <a:ln w="38100" cap="rnd">
            <a:solidFill>
              <a:schemeClr val="accent6"/>
            </a:solidFill>
            <a:round/>
          </a:ln>
          <a:effectLst/>
        </c:spPr>
        <c:marker>
          <c:symbol val="circle"/>
          <c:size val="8"/>
          <c:spPr>
            <a:solidFill>
              <a:schemeClr val="accent6"/>
            </a:solidFill>
            <a:ln>
              <a:noFill/>
            </a:ln>
            <a:effectLst/>
          </c:spPr>
        </c:marker>
      </c:pivotFmt>
    </c:pivotFmts>
    <c:plotArea>
      <c:layout>
        <c:manualLayout>
          <c:layoutTarget val="inner"/>
          <c:xMode val="edge"/>
          <c:yMode val="edge"/>
          <c:x val="9.9081732430505012E-2"/>
          <c:y val="5.5555555555555552E-2"/>
          <c:w val="0.85236551313438758"/>
          <c:h val="0.63551545640128315"/>
        </c:manualLayout>
      </c:layout>
      <c:lineChart>
        <c:grouping val="standard"/>
        <c:varyColors val="0"/>
        <c:ser>
          <c:idx val="0"/>
          <c:order val="0"/>
          <c:tx>
            <c:strRef>
              <c:f>'PIVOT TABLE'!$B$3</c:f>
              <c:strCache>
                <c:ptCount val="1"/>
                <c:pt idx="0">
                  <c:v>Total</c:v>
                </c:pt>
              </c:strCache>
            </c:strRef>
          </c:tx>
          <c:spPr>
            <a:ln w="38100" cap="rnd">
              <a:solidFill>
                <a:schemeClr val="accent6"/>
              </a:solidFill>
              <a:round/>
            </a:ln>
            <a:effectLst/>
          </c:spPr>
          <c:marker>
            <c:symbol val="circle"/>
            <c:size val="8"/>
            <c:spPr>
              <a:solidFill>
                <a:schemeClr val="accent6"/>
              </a:solidFill>
              <a:ln>
                <a:noFill/>
              </a:ln>
              <a:effectLst/>
            </c:spPr>
          </c:marker>
          <c:cat>
            <c:strRef>
              <c:f>'PIVOT TABLE'!$A$4:$A$24</c:f>
              <c:strCache>
                <c:ptCount val="20"/>
                <c:pt idx="0">
                  <c:v>AIR FRESHENER</c:v>
                </c:pt>
                <c:pt idx="1">
                  <c:v>BISCUITS</c:v>
                </c:pt>
                <c:pt idx="2">
                  <c:v>BLEACH</c:v>
                </c:pt>
                <c:pt idx="3">
                  <c:v>CHIN CHIN</c:v>
                </c:pt>
                <c:pt idx="4">
                  <c:v>CHIPS</c:v>
                </c:pt>
                <c:pt idx="5">
                  <c:v>COKE</c:v>
                </c:pt>
                <c:pt idx="6">
                  <c:v>COOKIES</c:v>
                </c:pt>
                <c:pt idx="7">
                  <c:v>DEODORANT</c:v>
                </c:pt>
                <c:pt idx="8">
                  <c:v>DETERGENT</c:v>
                </c:pt>
                <c:pt idx="9">
                  <c:v>FANTA</c:v>
                </c:pt>
                <c:pt idx="10">
                  <c:v>GRANOLA BAR</c:v>
                </c:pt>
                <c:pt idx="11">
                  <c:v>HAND SANITIZER</c:v>
                </c:pt>
                <c:pt idx="12">
                  <c:v>JUICE</c:v>
                </c:pt>
                <c:pt idx="13">
                  <c:v>LOTION</c:v>
                </c:pt>
                <c:pt idx="14">
                  <c:v>PEPSI</c:v>
                </c:pt>
                <c:pt idx="15">
                  <c:v>SHAMPOO</c:v>
                </c:pt>
                <c:pt idx="16">
                  <c:v>SOAP</c:v>
                </c:pt>
                <c:pt idx="17">
                  <c:v>TOILET PAPER</c:v>
                </c:pt>
                <c:pt idx="18">
                  <c:v>TOOTHPASTE</c:v>
                </c:pt>
                <c:pt idx="19">
                  <c:v>WATER</c:v>
                </c:pt>
              </c:strCache>
            </c:strRef>
          </c:cat>
          <c:val>
            <c:numRef>
              <c:f>'PIVOT TABLE'!$B$4:$B$24</c:f>
              <c:numCache>
                <c:formatCode>General</c:formatCode>
                <c:ptCount val="20"/>
                <c:pt idx="0">
                  <c:v>112</c:v>
                </c:pt>
                <c:pt idx="1">
                  <c:v>54</c:v>
                </c:pt>
                <c:pt idx="2">
                  <c:v>54</c:v>
                </c:pt>
                <c:pt idx="3">
                  <c:v>228</c:v>
                </c:pt>
                <c:pt idx="4">
                  <c:v>64</c:v>
                </c:pt>
                <c:pt idx="5">
                  <c:v>49</c:v>
                </c:pt>
                <c:pt idx="6">
                  <c:v>41</c:v>
                </c:pt>
                <c:pt idx="7">
                  <c:v>72</c:v>
                </c:pt>
                <c:pt idx="8">
                  <c:v>183</c:v>
                </c:pt>
                <c:pt idx="9">
                  <c:v>93</c:v>
                </c:pt>
                <c:pt idx="10">
                  <c:v>99</c:v>
                </c:pt>
                <c:pt idx="11">
                  <c:v>45</c:v>
                </c:pt>
                <c:pt idx="12">
                  <c:v>85</c:v>
                </c:pt>
                <c:pt idx="13">
                  <c:v>72</c:v>
                </c:pt>
                <c:pt idx="14">
                  <c:v>68</c:v>
                </c:pt>
                <c:pt idx="15">
                  <c:v>68</c:v>
                </c:pt>
                <c:pt idx="16">
                  <c:v>83</c:v>
                </c:pt>
                <c:pt idx="17">
                  <c:v>93</c:v>
                </c:pt>
                <c:pt idx="18">
                  <c:v>35</c:v>
                </c:pt>
                <c:pt idx="19">
                  <c:v>59</c:v>
                </c:pt>
              </c:numCache>
            </c:numRef>
          </c:val>
          <c:smooth val="0"/>
        </c:ser>
        <c:dLbls>
          <c:showLegendKey val="0"/>
          <c:showVal val="0"/>
          <c:showCatName val="0"/>
          <c:showSerName val="0"/>
          <c:showPercent val="0"/>
          <c:showBubbleSize val="0"/>
        </c:dLbls>
        <c:marker val="1"/>
        <c:smooth val="0"/>
        <c:axId val="369052368"/>
        <c:axId val="369052752"/>
      </c:lineChart>
      <c:catAx>
        <c:axId val="36905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69052752"/>
        <c:crosses val="autoZero"/>
        <c:auto val="1"/>
        <c:lblAlgn val="ctr"/>
        <c:lblOffset val="100"/>
        <c:noMultiLvlLbl val="0"/>
      </c:catAx>
      <c:valAx>
        <c:axId val="3690527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052368"/>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[DDDDD NEW.xlsx]PIVOT TABLE!PivotTable5</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glow rad="101600">
              <a:schemeClr val="accent6">
                <a:satMod val="175000"/>
                <a:alpha val="40000"/>
              </a:schemeClr>
            </a:glo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4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rgbClr val="66FF66"/>
          </a:solidFill>
          <a:ln w="19050">
            <a:solidFill>
              <a:schemeClr val="lt1"/>
            </a:solidFill>
          </a:ln>
          <a:effectLst>
            <a:glow rad="76200">
              <a:schemeClr val="accent6">
                <a:satMod val="175000"/>
                <a:alpha val="31000"/>
              </a:schemeClr>
            </a:glow>
          </a:effectLst>
        </c:spPr>
      </c:pivotFmt>
      <c:pivotFmt>
        <c:idx val="3"/>
        <c:spPr>
          <a:solidFill>
            <a:srgbClr val="00B0F0"/>
          </a:solidFill>
          <a:ln w="19050">
            <a:solidFill>
              <a:schemeClr val="lt1"/>
            </a:solidFill>
          </a:ln>
          <a:effectLst>
            <a:glow rad="101600">
              <a:schemeClr val="accent6">
                <a:satMod val="175000"/>
                <a:alpha val="40000"/>
              </a:schemeClr>
            </a:glow>
          </a:effectLst>
        </c:spPr>
      </c:pivotFmt>
      <c:pivotFmt>
        <c:idx val="4"/>
        <c:spPr>
          <a:solidFill>
            <a:schemeClr val="accent3">
              <a:lumMod val="75000"/>
            </a:schemeClr>
          </a:solidFill>
          <a:ln w="19050">
            <a:solidFill>
              <a:schemeClr val="lt1"/>
            </a:solidFill>
          </a:ln>
          <a:effectLst>
            <a:glow rad="101600">
              <a:schemeClr val="accent6">
                <a:satMod val="175000"/>
                <a:alpha val="40000"/>
              </a:schemeClr>
            </a:glow>
          </a:effectLst>
        </c:spPr>
      </c:pivotFmt>
      <c:pivotFmt>
        <c:idx val="5"/>
        <c:spPr>
          <a:solidFill>
            <a:schemeClr val="accent1"/>
          </a:solidFill>
          <a:ln w="19050">
            <a:solidFill>
              <a:schemeClr val="lt1"/>
            </a:solidFill>
          </a:ln>
          <a:effectLst>
            <a:glow rad="101600">
              <a:schemeClr val="accent6">
                <a:satMod val="175000"/>
                <a:alpha val="40000"/>
              </a:schemeClr>
            </a:glow>
          </a:effectLst>
        </c:spPr>
      </c:pivotFmt>
    </c:pivotFmts>
    <c:plotArea>
      <c:layout/>
      <c:pieChart>
        <c:varyColors val="1"/>
        <c:ser>
          <c:idx val="0"/>
          <c:order val="0"/>
          <c:tx>
            <c:strRef>
              <c:f>'PIVOT TABLE'!$B$28</c:f>
              <c:strCache>
                <c:ptCount val="1"/>
                <c:pt idx="0">
                  <c:v>Total</c:v>
                </c:pt>
              </c:strCache>
            </c:strRef>
          </c:tx>
          <c:spPr>
            <a:effectLst>
              <a:glow rad="101600">
                <a:schemeClr val="accent6">
                  <a:satMod val="175000"/>
                  <a:alpha val="40000"/>
                </a:schemeClr>
              </a:glow>
            </a:effectLst>
          </c:spPr>
          <c:explosion val="3"/>
          <c:dPt>
            <c:idx val="0"/>
            <c:bubble3D val="0"/>
            <c:spPr>
              <a:solidFill>
                <a:srgbClr val="66FF66"/>
              </a:solidFill>
              <a:ln w="19050">
                <a:solidFill>
                  <a:schemeClr val="lt1"/>
                </a:solidFill>
              </a:ln>
              <a:effectLst>
                <a:glow rad="76200">
                  <a:schemeClr val="accent6">
                    <a:satMod val="175000"/>
                    <a:alpha val="31000"/>
                  </a:schemeClr>
                </a:glow>
              </a:effectLst>
            </c:spPr>
          </c:dPt>
          <c:dPt>
            <c:idx val="1"/>
            <c:bubble3D val="0"/>
            <c:spPr>
              <a:solidFill>
                <a:srgbClr val="00B0F0"/>
              </a:solidFill>
              <a:ln w="19050">
                <a:solidFill>
                  <a:schemeClr val="lt1"/>
                </a:solidFill>
              </a:ln>
              <a:effectLst>
                <a:glow rad="101600">
                  <a:schemeClr val="accent6">
                    <a:satMod val="175000"/>
                    <a:alpha val="40000"/>
                  </a:schemeClr>
                </a:glow>
              </a:effectLst>
            </c:spPr>
          </c:dPt>
          <c:dPt>
            <c:idx val="2"/>
            <c:bubble3D val="0"/>
            <c:spPr>
              <a:solidFill>
                <a:schemeClr val="accent3">
                  <a:lumMod val="75000"/>
                </a:schemeClr>
              </a:solidFill>
              <a:ln w="19050">
                <a:solidFill>
                  <a:schemeClr val="lt1"/>
                </a:solidFill>
              </a:ln>
              <a:effectLst>
                <a:glow rad="101600">
                  <a:schemeClr val="accent6">
                    <a:satMod val="175000"/>
                    <a:alpha val="40000"/>
                  </a:schemeClr>
                </a:glow>
              </a:effectLst>
            </c:spPr>
          </c:dPt>
          <c:dPt>
            <c:idx val="3"/>
            <c:bubble3D val="0"/>
            <c:spPr>
              <a:solidFill>
                <a:schemeClr val="accent4"/>
              </a:solidFill>
              <a:ln w="19050">
                <a:solidFill>
                  <a:schemeClr val="lt1"/>
                </a:solidFill>
              </a:ln>
              <a:effectLst>
                <a:glow rad="101600">
                  <a:schemeClr val="accent6">
                    <a:satMod val="175000"/>
                    <a:alpha val="40000"/>
                  </a:schemeClr>
                </a:glo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4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TABLE'!$A$29:$A$33</c:f>
              <c:strCache>
                <c:ptCount val="4"/>
                <c:pt idx="0">
                  <c:v>BEVERAGES</c:v>
                </c:pt>
                <c:pt idx="1">
                  <c:v>HOUSEHOLD</c:v>
                </c:pt>
                <c:pt idx="2">
                  <c:v>PERSONAL CARE</c:v>
                </c:pt>
                <c:pt idx="3">
                  <c:v>SNACKS</c:v>
                </c:pt>
              </c:strCache>
            </c:strRef>
          </c:cat>
          <c:val>
            <c:numRef>
              <c:f>'PIVOT TABLE'!$B$29:$B$33</c:f>
              <c:numCache>
                <c:formatCode>General</c:formatCode>
                <c:ptCount val="4"/>
                <c:pt idx="0">
                  <c:v>200074</c:v>
                </c:pt>
                <c:pt idx="1">
                  <c:v>229252</c:v>
                </c:pt>
                <c:pt idx="2">
                  <c:v>167802</c:v>
                </c:pt>
                <c:pt idx="3">
                  <c:v>299828</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[DDDDD NEW.xlsx]PIVOT TABLE!PivotTable9</c:name>
    <c:fmtId val="2"/>
  </c:pivotSource>
  <c:chart>
    <c:autoTitleDeleted val="1"/>
    <c:pivotFmts>
      <c:pivotFmt>
        <c:idx val="0"/>
        <c:spPr>
          <a:solidFill>
            <a:schemeClr val="accent1"/>
          </a:solidFill>
          <a:ln>
            <a:noFill/>
          </a:ln>
          <a:effectLst/>
        </c:spPr>
        <c:marker>
          <c:symbol val="none"/>
        </c:marker>
      </c:pivotFmt>
      <c:pivotFmt>
        <c:idx val="1"/>
        <c:spPr>
          <a:solidFill>
            <a:srgbClr val="F1ED33"/>
          </a:solidFill>
          <a:ln>
            <a:noFill/>
          </a:ln>
          <a:effectLst/>
        </c:spPr>
        <c:marker>
          <c:symbol val="none"/>
        </c:marker>
      </c:pivotFmt>
    </c:pivotFmts>
    <c:plotArea>
      <c:layout>
        <c:manualLayout>
          <c:layoutTarget val="inner"/>
          <c:xMode val="edge"/>
          <c:yMode val="edge"/>
          <c:x val="0.11444350141775131"/>
          <c:y val="0.10185185185185185"/>
          <c:w val="0.84143043005702278"/>
          <c:h val="0.79074876057159504"/>
        </c:manualLayout>
      </c:layout>
      <c:barChart>
        <c:barDir val="col"/>
        <c:grouping val="clustered"/>
        <c:varyColors val="0"/>
        <c:ser>
          <c:idx val="0"/>
          <c:order val="0"/>
          <c:tx>
            <c:strRef>
              <c:f>'PIVOT TABLE'!$E$19</c:f>
              <c:strCache>
                <c:ptCount val="1"/>
                <c:pt idx="0">
                  <c:v>Total</c:v>
                </c:pt>
              </c:strCache>
            </c:strRef>
          </c:tx>
          <c:spPr>
            <a:solidFill>
              <a:srgbClr val="F1ED33"/>
            </a:solidFill>
            <a:ln>
              <a:noFill/>
            </a:ln>
            <a:effectLst/>
          </c:spPr>
          <c:invertIfNegative val="0"/>
          <c:cat>
            <c:strRef>
              <c:f>'PIVOT TABLE'!$D$20:$D$22</c:f>
              <c:strCache>
                <c:ptCount val="2"/>
                <c:pt idx="0">
                  <c:v>FEMALE</c:v>
                </c:pt>
                <c:pt idx="1">
                  <c:v>MALE</c:v>
                </c:pt>
              </c:strCache>
            </c:strRef>
          </c:cat>
          <c:val>
            <c:numRef>
              <c:f>'PIVOT TABLE'!$E$20:$E$22</c:f>
              <c:numCache>
                <c:formatCode>General</c:formatCode>
                <c:ptCount val="2"/>
                <c:pt idx="0">
                  <c:v>836</c:v>
                </c:pt>
                <c:pt idx="1">
                  <c:v>821</c:v>
                </c:pt>
              </c:numCache>
            </c:numRef>
          </c:val>
        </c:ser>
        <c:dLbls>
          <c:showLegendKey val="0"/>
          <c:showVal val="0"/>
          <c:showCatName val="0"/>
          <c:showSerName val="0"/>
          <c:showPercent val="0"/>
          <c:showBubbleSize val="0"/>
        </c:dLbls>
        <c:gapWidth val="143"/>
        <c:overlap val="-8"/>
        <c:axId val="369133328"/>
        <c:axId val="369141912"/>
      </c:barChart>
      <c:catAx>
        <c:axId val="369133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41912"/>
        <c:crosses val="autoZero"/>
        <c:auto val="1"/>
        <c:lblAlgn val="ctr"/>
        <c:lblOffset val="100"/>
        <c:noMultiLvlLbl val="0"/>
      </c:catAx>
      <c:valAx>
        <c:axId val="36914191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333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[DDDDD NEW.xlsx]PIVOT TABLE!PivotTable6</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innerShdw blurRad="114300">
              <a:srgbClr val="FFFF00"/>
            </a:inn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w="19050">
            <a:solidFill>
              <a:schemeClr val="lt1"/>
            </a:solidFill>
          </a:ln>
          <a:effectLst>
            <a:innerShdw blurRad="114300">
              <a:srgbClr val="FFFF00"/>
            </a:innerShdw>
          </a:effectLst>
        </c:spPr>
      </c:pivotFmt>
      <c:pivotFmt>
        <c:idx val="3"/>
        <c:spPr>
          <a:solidFill>
            <a:schemeClr val="accent1"/>
          </a:solidFill>
          <a:ln w="19050">
            <a:solidFill>
              <a:schemeClr val="lt1"/>
            </a:solidFill>
          </a:ln>
          <a:effectLst>
            <a:innerShdw blurRad="114300">
              <a:srgbClr val="FFFF00"/>
            </a:innerShdw>
          </a:effectLst>
        </c:spPr>
      </c:pivotFmt>
      <c:pivotFmt>
        <c:idx val="4"/>
        <c:spPr>
          <a:solidFill>
            <a:schemeClr val="accent1"/>
          </a:solidFill>
          <a:ln w="19050">
            <a:solidFill>
              <a:schemeClr val="lt1"/>
            </a:solidFill>
          </a:ln>
          <a:effectLst>
            <a:innerShdw blurRad="114300">
              <a:srgbClr val="FFFF00"/>
            </a:innerShdw>
          </a:effectLst>
        </c:spPr>
      </c:pivotFmt>
      <c:pivotFmt>
        <c:idx val="5"/>
        <c:spPr>
          <a:solidFill>
            <a:schemeClr val="accent1"/>
          </a:solidFill>
          <a:ln w="19050">
            <a:solidFill>
              <a:schemeClr val="lt1"/>
            </a:solidFill>
          </a:ln>
          <a:effectLst>
            <a:innerShdw blurRad="114300">
              <a:srgbClr val="FFFF00"/>
            </a:innerShdw>
          </a:effectLst>
        </c:spPr>
      </c:pivotFmt>
      <c:pivotFmt>
        <c:idx val="6"/>
        <c:spPr>
          <a:solidFill>
            <a:schemeClr val="bg2">
              <a:lumMod val="50000"/>
            </a:schemeClr>
          </a:solidFill>
          <a:ln w="19050">
            <a:solidFill>
              <a:schemeClr val="lt1"/>
            </a:solidFill>
          </a:ln>
          <a:effectLst>
            <a:innerShdw blurRad="114300">
              <a:srgbClr val="FFFF00"/>
            </a:innerShdw>
          </a:effectLst>
        </c:spPr>
      </c:pivotFmt>
      <c:pivotFmt>
        <c:idx val="7"/>
        <c:spPr>
          <a:solidFill>
            <a:schemeClr val="accent1"/>
          </a:solidFill>
          <a:ln w="19050">
            <a:solidFill>
              <a:schemeClr val="lt1"/>
            </a:solidFill>
          </a:ln>
          <a:effectLst>
            <a:innerShdw blurRad="114300">
              <a:srgbClr val="FFFF00"/>
            </a:innerShdw>
          </a:effectLst>
        </c:spPr>
      </c:pivotFmt>
      <c:pivotFmt>
        <c:idx val="8"/>
        <c:spPr>
          <a:solidFill>
            <a:schemeClr val="accent1"/>
          </a:solidFill>
          <a:ln w="19050">
            <a:solidFill>
              <a:schemeClr val="lt1"/>
            </a:solidFill>
          </a:ln>
          <a:effectLst>
            <a:innerShdw blurRad="114300">
              <a:srgbClr val="FFFF00"/>
            </a:innerShdw>
          </a:effectLst>
        </c:spPr>
      </c:pivotFmt>
    </c:pivotFmts>
    <c:plotArea>
      <c:layout/>
      <c:doughnutChart>
        <c:varyColors val="1"/>
        <c:ser>
          <c:idx val="0"/>
          <c:order val="0"/>
          <c:tx>
            <c:strRef>
              <c:f>'PIVOT TABLE'!$E$28</c:f>
              <c:strCache>
                <c:ptCount val="1"/>
                <c:pt idx="0">
                  <c:v>Total</c:v>
                </c:pt>
              </c:strCache>
            </c:strRef>
          </c:tx>
          <c:spPr>
            <a:effectLst>
              <a:innerShdw blurRad="114300">
                <a:srgbClr val="FFFF00"/>
              </a:innerShdw>
            </a:effectLst>
          </c:spPr>
          <c:explosion val="10"/>
          <c:dPt>
            <c:idx val="0"/>
            <c:bubble3D val="0"/>
            <c:spPr>
              <a:solidFill>
                <a:schemeClr val="accent1"/>
              </a:solidFill>
              <a:ln w="19050">
                <a:solidFill>
                  <a:schemeClr val="lt1"/>
                </a:solidFill>
              </a:ln>
              <a:effectLst>
                <a:innerShdw blurRad="114300">
                  <a:srgbClr val="FFFF00"/>
                </a:innerShdw>
              </a:effectLst>
            </c:spPr>
          </c:dPt>
          <c:dPt>
            <c:idx val="1"/>
            <c:bubble3D val="0"/>
            <c:spPr>
              <a:solidFill>
                <a:schemeClr val="accent2"/>
              </a:solidFill>
              <a:ln w="19050">
                <a:solidFill>
                  <a:schemeClr val="lt1"/>
                </a:solidFill>
              </a:ln>
              <a:effectLst>
                <a:innerShdw blurRad="114300">
                  <a:srgbClr val="FFFF00"/>
                </a:innerShdw>
              </a:effectLst>
            </c:spPr>
          </c:dPt>
          <c:dPt>
            <c:idx val="2"/>
            <c:bubble3D val="0"/>
            <c:spPr>
              <a:solidFill>
                <a:schemeClr val="accent3"/>
              </a:solidFill>
              <a:ln w="19050">
                <a:solidFill>
                  <a:schemeClr val="lt1"/>
                </a:solidFill>
              </a:ln>
              <a:effectLst>
                <a:innerShdw blurRad="114300">
                  <a:srgbClr val="FFFF00"/>
                </a:innerShdw>
              </a:effectLst>
            </c:spPr>
          </c:dPt>
          <c:dPt>
            <c:idx val="3"/>
            <c:bubble3D val="0"/>
            <c:spPr>
              <a:solidFill>
                <a:schemeClr val="accent4"/>
              </a:solidFill>
              <a:ln w="19050">
                <a:solidFill>
                  <a:schemeClr val="lt1"/>
                </a:solidFill>
              </a:ln>
              <a:effectLst>
                <a:innerShdw blurRad="114300">
                  <a:srgbClr val="FFFF00"/>
                </a:innerShdw>
              </a:effectLst>
            </c:spPr>
          </c:dPt>
          <c:dPt>
            <c:idx val="4"/>
            <c:bubble3D val="0"/>
            <c:spPr>
              <a:solidFill>
                <a:schemeClr val="bg2">
                  <a:lumMod val="50000"/>
                </a:schemeClr>
              </a:solidFill>
              <a:ln w="19050">
                <a:solidFill>
                  <a:schemeClr val="lt1"/>
                </a:solidFill>
              </a:ln>
              <a:effectLst>
                <a:innerShdw blurRad="114300">
                  <a:srgbClr val="FFFF00"/>
                </a:innerShdw>
              </a:effectLst>
            </c:spPr>
          </c:dPt>
          <c:dPt>
            <c:idx val="5"/>
            <c:bubble3D val="0"/>
            <c:spPr>
              <a:solidFill>
                <a:schemeClr val="accent6"/>
              </a:solidFill>
              <a:ln w="19050">
                <a:solidFill>
                  <a:schemeClr val="lt1"/>
                </a:solidFill>
              </a:ln>
              <a:effectLst>
                <a:innerShdw blurRad="114300">
                  <a:srgbClr val="FFFF00"/>
                </a:innerShdw>
              </a:effectLst>
            </c:spPr>
          </c:dPt>
          <c:dPt>
            <c:idx val="6"/>
            <c:bubble3D val="0"/>
            <c:spPr>
              <a:solidFill>
                <a:schemeClr val="accent1">
                  <a:lumMod val="60000"/>
                </a:schemeClr>
              </a:solidFill>
              <a:ln w="19050">
                <a:solidFill>
                  <a:schemeClr val="lt1"/>
                </a:solidFill>
              </a:ln>
              <a:effectLst>
                <a:innerShdw blurRad="114300">
                  <a:srgbClr val="FFFF00"/>
                </a:inn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TABLE'!$D$29:$D$36</c:f>
              <c:strCache>
                <c:ptCount val="7"/>
                <c:pt idx="0">
                  <c:v>ABUJA</c:v>
                </c:pt>
                <c:pt idx="1">
                  <c:v>BENIN CITY</c:v>
                </c:pt>
                <c:pt idx="2">
                  <c:v>IBADAN</c:v>
                </c:pt>
                <c:pt idx="3">
                  <c:v>KANO</c:v>
                </c:pt>
                <c:pt idx="4">
                  <c:v>LAGOS</c:v>
                </c:pt>
                <c:pt idx="5">
                  <c:v>LAGOS </c:v>
                </c:pt>
                <c:pt idx="6">
                  <c:v>PORT HARCOURT</c:v>
                </c:pt>
              </c:strCache>
            </c:strRef>
          </c:cat>
          <c:val>
            <c:numRef>
              <c:f>'PIVOT TABLE'!$E$29:$E$36</c:f>
              <c:numCache>
                <c:formatCode>General</c:formatCode>
                <c:ptCount val="7"/>
                <c:pt idx="0">
                  <c:v>47</c:v>
                </c:pt>
                <c:pt idx="1">
                  <c:v>46</c:v>
                </c:pt>
                <c:pt idx="2">
                  <c:v>35</c:v>
                </c:pt>
                <c:pt idx="3">
                  <c:v>39</c:v>
                </c:pt>
                <c:pt idx="4">
                  <c:v>39</c:v>
                </c:pt>
                <c:pt idx="5">
                  <c:v>2</c:v>
                </c:pt>
                <c:pt idx="6">
                  <c:v>42</c:v>
                </c:pt>
              </c:numCache>
            </c:numRef>
          </c:val>
        </c:ser>
        <c:dLbls>
          <c:showLegendKey val="0"/>
          <c:showVal val="1"/>
          <c:showCatName val="0"/>
          <c:showSerName val="0"/>
          <c:showPercent val="0"/>
          <c:showBubbleSize val="0"/>
          <c:showLeaderLines val="1"/>
        </c:dLbls>
        <c:firstSliceAng val="0"/>
        <c:holeSize val="36"/>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[DDDDD NEW.xlsx]PIVOT TABLE!PivotTable7</c:name>
    <c:fmtId val="2"/>
  </c:pivotSource>
  <c:chart>
    <c:autoTitleDeleted val="1"/>
    <c:pivotFmts>
      <c:pivotFmt>
        <c:idx val="0"/>
        <c:spPr>
          <a:solidFill>
            <a:schemeClr val="accent6"/>
          </a:solidFill>
          <a:ln>
            <a:noFill/>
          </a:ln>
          <a:effectLst/>
          <a:sp3d/>
        </c:spPr>
        <c:marker>
          <c:symbol val="none"/>
        </c:marker>
      </c:pivotFmt>
      <c:pivotFmt>
        <c:idx val="1"/>
        <c:spPr>
          <a:solidFill>
            <a:schemeClr val="accent6"/>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TABLE'!$H$5</c:f>
              <c:strCache>
                <c:ptCount val="1"/>
                <c:pt idx="0">
                  <c:v>Total</c:v>
                </c:pt>
              </c:strCache>
            </c:strRef>
          </c:tx>
          <c:spPr>
            <a:solidFill>
              <a:schemeClr val="accent6"/>
            </a:solidFill>
            <a:ln>
              <a:noFill/>
            </a:ln>
            <a:effectLst/>
            <a:sp3d/>
          </c:spPr>
          <c:invertIfNegative val="0"/>
          <c:cat>
            <c:strRef>
              <c:f>'PIVOT TABLE'!$G$6:$G$26</c:f>
              <c:strCache>
                <c:ptCount val="20"/>
                <c:pt idx="0">
                  <c:v>AIR FRESHENER</c:v>
                </c:pt>
                <c:pt idx="1">
                  <c:v>BISCUITS</c:v>
                </c:pt>
                <c:pt idx="2">
                  <c:v>BLEACH</c:v>
                </c:pt>
                <c:pt idx="3">
                  <c:v>CHIN CHIN</c:v>
                </c:pt>
                <c:pt idx="4">
                  <c:v>CHIPS</c:v>
                </c:pt>
                <c:pt idx="5">
                  <c:v>COKE</c:v>
                </c:pt>
                <c:pt idx="6">
                  <c:v>COOKIES</c:v>
                </c:pt>
                <c:pt idx="7">
                  <c:v>DEODORANT</c:v>
                </c:pt>
                <c:pt idx="8">
                  <c:v>DETERGENT</c:v>
                </c:pt>
                <c:pt idx="9">
                  <c:v>FANTA</c:v>
                </c:pt>
                <c:pt idx="10">
                  <c:v>GRANOLA BAR</c:v>
                </c:pt>
                <c:pt idx="11">
                  <c:v>HAND SANITIZER</c:v>
                </c:pt>
                <c:pt idx="12">
                  <c:v>JUICE</c:v>
                </c:pt>
                <c:pt idx="13">
                  <c:v>LOTION</c:v>
                </c:pt>
                <c:pt idx="14">
                  <c:v>PEPSI</c:v>
                </c:pt>
                <c:pt idx="15">
                  <c:v>SHAMPOO</c:v>
                </c:pt>
                <c:pt idx="16">
                  <c:v>SOAP</c:v>
                </c:pt>
                <c:pt idx="17">
                  <c:v>TOILET PAPER</c:v>
                </c:pt>
                <c:pt idx="18">
                  <c:v>TOOTHPASTE</c:v>
                </c:pt>
                <c:pt idx="19">
                  <c:v>WATER</c:v>
                </c:pt>
              </c:strCache>
            </c:strRef>
          </c:cat>
          <c:val>
            <c:numRef>
              <c:f>'PIVOT TABLE'!$H$6:$H$26</c:f>
              <c:numCache>
                <c:formatCode>General</c:formatCode>
                <c:ptCount val="20"/>
                <c:pt idx="0">
                  <c:v>112</c:v>
                </c:pt>
                <c:pt idx="1">
                  <c:v>54</c:v>
                </c:pt>
                <c:pt idx="2">
                  <c:v>54</c:v>
                </c:pt>
                <c:pt idx="3">
                  <c:v>228</c:v>
                </c:pt>
                <c:pt idx="4">
                  <c:v>64</c:v>
                </c:pt>
                <c:pt idx="5">
                  <c:v>49</c:v>
                </c:pt>
                <c:pt idx="6">
                  <c:v>41</c:v>
                </c:pt>
                <c:pt idx="7">
                  <c:v>72</c:v>
                </c:pt>
                <c:pt idx="8">
                  <c:v>183</c:v>
                </c:pt>
                <c:pt idx="9">
                  <c:v>93</c:v>
                </c:pt>
                <c:pt idx="10">
                  <c:v>99</c:v>
                </c:pt>
                <c:pt idx="11">
                  <c:v>45</c:v>
                </c:pt>
                <c:pt idx="12">
                  <c:v>85</c:v>
                </c:pt>
                <c:pt idx="13">
                  <c:v>72</c:v>
                </c:pt>
                <c:pt idx="14">
                  <c:v>68</c:v>
                </c:pt>
                <c:pt idx="15">
                  <c:v>68</c:v>
                </c:pt>
                <c:pt idx="16">
                  <c:v>83</c:v>
                </c:pt>
                <c:pt idx="17">
                  <c:v>93</c:v>
                </c:pt>
                <c:pt idx="18">
                  <c:v>35</c:v>
                </c:pt>
                <c:pt idx="19">
                  <c:v>59</c:v>
                </c:pt>
              </c:numCache>
            </c:numRef>
          </c:val>
        </c:ser>
        <c:dLbls>
          <c:showLegendKey val="0"/>
          <c:showVal val="0"/>
          <c:showCatName val="0"/>
          <c:showSerName val="0"/>
          <c:showPercent val="0"/>
          <c:showBubbleSize val="0"/>
        </c:dLbls>
        <c:gapWidth val="150"/>
        <c:shape val="box"/>
        <c:axId val="369918896"/>
        <c:axId val="369167704"/>
        <c:axId val="0"/>
      </c:bar3DChart>
      <c:catAx>
        <c:axId val="36991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369167704"/>
        <c:crosses val="autoZero"/>
        <c:auto val="1"/>
        <c:lblAlgn val="ctr"/>
        <c:lblOffset val="100"/>
        <c:noMultiLvlLbl val="0"/>
      </c:catAx>
      <c:valAx>
        <c:axId val="3691677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699188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[DDDDD NEW.xlsx]PIVOT TABLE!PivotTable8</c:name>
    <c:fmtId val="2"/>
  </c:pivotSource>
  <c:chart>
    <c:autoTitleDeleted val="1"/>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TABLE'!$E$3</c:f>
              <c:strCache>
                <c:ptCount val="1"/>
                <c:pt idx="0">
                  <c:v>Total</c:v>
                </c:pt>
              </c:strCache>
            </c:strRef>
          </c:tx>
          <c:spPr>
            <a:solidFill>
              <a:schemeClr val="dk1">
                <a:tint val="88500"/>
              </a:schemeClr>
            </a:solidFill>
            <a:ln>
              <a:noFill/>
            </a:ln>
            <a:effectLst/>
            <a:sp3d/>
          </c:spPr>
          <c:invertIfNegative val="0"/>
          <c:cat>
            <c:strRef>
              <c:f>'PIVOT TABLE'!$D$4:$D$8</c:f>
              <c:strCache>
                <c:ptCount val="4"/>
                <c:pt idx="0">
                  <c:v>Cash</c:v>
                </c:pt>
                <c:pt idx="1">
                  <c:v>Online</c:v>
                </c:pt>
                <c:pt idx="2">
                  <c:v>POS</c:v>
                </c:pt>
                <c:pt idx="3">
                  <c:v>Transfer</c:v>
                </c:pt>
              </c:strCache>
            </c:strRef>
          </c:cat>
          <c:val>
            <c:numRef>
              <c:f>'PIVOT TABLE'!$E$4:$E$8</c:f>
              <c:numCache>
                <c:formatCode>General</c:formatCode>
                <c:ptCount val="4"/>
                <c:pt idx="0">
                  <c:v>142399</c:v>
                </c:pt>
                <c:pt idx="1">
                  <c:v>236901</c:v>
                </c:pt>
                <c:pt idx="2">
                  <c:v>233792</c:v>
                </c:pt>
                <c:pt idx="3">
                  <c:v>283864</c:v>
                </c:pt>
              </c:numCache>
            </c:numRef>
          </c:val>
        </c:ser>
        <c:dLbls>
          <c:showLegendKey val="0"/>
          <c:showVal val="0"/>
          <c:showCatName val="0"/>
          <c:showSerName val="0"/>
          <c:showPercent val="0"/>
          <c:showBubbleSize val="0"/>
        </c:dLbls>
        <c:gapWidth val="150"/>
        <c:shape val="box"/>
        <c:axId val="369169664"/>
        <c:axId val="369174368"/>
        <c:axId val="0"/>
      </c:bar3DChart>
      <c:catAx>
        <c:axId val="369169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74368"/>
        <c:crosses val="autoZero"/>
        <c:auto val="1"/>
        <c:lblAlgn val="ctr"/>
        <c:lblOffset val="100"/>
        <c:noMultiLvlLbl val="0"/>
      </c:catAx>
      <c:valAx>
        <c:axId val="369174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91696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386442</xdr:colOff>
      <xdr:row>3</xdr:row>
      <xdr:rowOff>176894</xdr:rowOff>
    </xdr:from>
    <xdr:to>
      <xdr:col>13</xdr:col>
      <xdr:colOff>95249</xdr:colOff>
      <xdr:row>7</xdr:row>
      <xdr:rowOff>184606</xdr:rowOff>
    </xdr:to>
    <xdr:sp macro="" textlink="">
      <xdr:nvSpPr>
        <xdr:cNvPr id="38" name="Rounded Rectangle 37"/>
        <xdr:cNvSpPr/>
      </xdr:nvSpPr>
      <xdr:spPr>
        <a:xfrm>
          <a:off x="3448049" y="748394"/>
          <a:ext cx="4607379" cy="769712"/>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40</xdr:col>
      <xdr:colOff>526144</xdr:colOff>
      <xdr:row>1</xdr:row>
      <xdr:rowOff>22678</xdr:rowOff>
    </xdr:from>
    <xdr:to>
      <xdr:col>47</xdr:col>
      <xdr:colOff>557893</xdr:colOff>
      <xdr:row>14</xdr:row>
      <xdr:rowOff>73479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190500</xdr:colOff>
      <xdr:row>4</xdr:row>
      <xdr:rowOff>95249</xdr:rowOff>
    </xdr:from>
    <xdr:to>
      <xdr:col>3</xdr:col>
      <xdr:colOff>204107</xdr:colOff>
      <xdr:row>7</xdr:row>
      <xdr:rowOff>179162</xdr:rowOff>
    </xdr:to>
    <xdr:sp macro="" textlink="">
      <xdr:nvSpPr>
        <xdr:cNvPr id="5" name="Rounded Rectangle 4"/>
        <xdr:cNvSpPr/>
      </xdr:nvSpPr>
      <xdr:spPr>
        <a:xfrm>
          <a:off x="924622" y="857249"/>
          <a:ext cx="1230948" cy="655413"/>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222250</xdr:colOff>
      <xdr:row>8</xdr:row>
      <xdr:rowOff>47625</xdr:rowOff>
    </xdr:from>
    <xdr:to>
      <xdr:col>8</xdr:col>
      <xdr:colOff>95250</xdr:colOff>
      <xdr:row>18</xdr:row>
      <xdr:rowOff>95250</xdr:rowOff>
    </xdr:to>
    <xdr:sp macro="" textlink="">
      <xdr:nvSpPr>
        <xdr:cNvPr id="7" name="Rounded Rectangle 6"/>
        <xdr:cNvSpPr/>
      </xdr:nvSpPr>
      <xdr:spPr>
        <a:xfrm>
          <a:off x="834571" y="1571625"/>
          <a:ext cx="4159250" cy="1952625"/>
        </a:xfrm>
        <a:prstGeom prst="roundRect">
          <a:avLst>
            <a:gd name="adj" fmla="val 7608"/>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206375</xdr:colOff>
      <xdr:row>8</xdr:row>
      <xdr:rowOff>15875</xdr:rowOff>
    </xdr:from>
    <xdr:to>
      <xdr:col>13</xdr:col>
      <xdr:colOff>79375</xdr:colOff>
      <xdr:row>18</xdr:row>
      <xdr:rowOff>74839</xdr:rowOff>
    </xdr:to>
    <xdr:sp macro="" textlink="">
      <xdr:nvSpPr>
        <xdr:cNvPr id="9" name="Rounded Rectangle 8"/>
        <xdr:cNvSpPr/>
      </xdr:nvSpPr>
      <xdr:spPr>
        <a:xfrm>
          <a:off x="5104946" y="1539875"/>
          <a:ext cx="2934608" cy="1963964"/>
        </a:xfrm>
        <a:prstGeom prst="roundRect">
          <a:avLst>
            <a:gd name="adj" fmla="val 8353"/>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207734</xdr:colOff>
      <xdr:row>29</xdr:row>
      <xdr:rowOff>155575</xdr:rowOff>
    </xdr:from>
    <xdr:to>
      <xdr:col>13</xdr:col>
      <xdr:colOff>79375</xdr:colOff>
      <xdr:row>38</xdr:row>
      <xdr:rowOff>158750</xdr:rowOff>
    </xdr:to>
    <xdr:sp macro="" textlink="">
      <xdr:nvSpPr>
        <xdr:cNvPr id="10" name="Rounded Rectangle 9"/>
        <xdr:cNvSpPr/>
      </xdr:nvSpPr>
      <xdr:spPr>
        <a:xfrm>
          <a:off x="820055" y="5680075"/>
          <a:ext cx="7219499" cy="1717675"/>
        </a:xfrm>
        <a:prstGeom prst="roundRect">
          <a:avLst>
            <a:gd name="adj" fmla="val 7953"/>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226784</xdr:colOff>
      <xdr:row>19</xdr:row>
      <xdr:rowOff>47625</xdr:rowOff>
    </xdr:from>
    <xdr:to>
      <xdr:col>13</xdr:col>
      <xdr:colOff>57150</xdr:colOff>
      <xdr:row>29</xdr:row>
      <xdr:rowOff>86180</xdr:rowOff>
    </xdr:to>
    <xdr:sp macro="" textlink="">
      <xdr:nvSpPr>
        <xdr:cNvPr id="12" name="Rounded Rectangle 11"/>
        <xdr:cNvSpPr/>
      </xdr:nvSpPr>
      <xdr:spPr>
        <a:xfrm>
          <a:off x="5824553" y="3667125"/>
          <a:ext cx="2372809" cy="1943555"/>
        </a:xfrm>
        <a:prstGeom prst="roundRect">
          <a:avLst>
            <a:gd name="adj" fmla="val 6866"/>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206375</xdr:colOff>
      <xdr:row>30</xdr:row>
      <xdr:rowOff>158749</xdr:rowOff>
    </xdr:from>
    <xdr:to>
      <xdr:col>13</xdr:col>
      <xdr:colOff>63501</xdr:colOff>
      <xdr:row>38</xdr:row>
      <xdr:rowOff>174625</xdr:rowOff>
    </xdr:to>
    <xdr:graphicFrame macro="">
      <xdr:nvGraphicFramePr>
        <xdr:cNvPr id="1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285750</xdr:colOff>
      <xdr:row>19</xdr:row>
      <xdr:rowOff>41275</xdr:rowOff>
    </xdr:from>
    <xdr:to>
      <xdr:col>9</xdr:col>
      <xdr:colOff>146050</xdr:colOff>
      <xdr:row>29</xdr:row>
      <xdr:rowOff>79830</xdr:rowOff>
    </xdr:to>
    <xdr:sp macro="" textlink="">
      <xdr:nvSpPr>
        <xdr:cNvPr id="15" name="Rounded Rectangle 14"/>
        <xdr:cNvSpPr/>
      </xdr:nvSpPr>
      <xdr:spPr>
        <a:xfrm>
          <a:off x="3347357" y="3660775"/>
          <a:ext cx="2309586" cy="1943555"/>
        </a:xfrm>
        <a:prstGeom prst="roundRect">
          <a:avLst>
            <a:gd name="adj" fmla="val 5465"/>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180065</xdr:colOff>
      <xdr:row>19</xdr:row>
      <xdr:rowOff>81643</xdr:rowOff>
    </xdr:from>
    <xdr:to>
      <xdr:col>5</xdr:col>
      <xdr:colOff>206374</xdr:colOff>
      <xdr:row>29</xdr:row>
      <xdr:rowOff>120198</xdr:rowOff>
    </xdr:to>
    <xdr:sp macro="" textlink="">
      <xdr:nvSpPr>
        <xdr:cNvPr id="16" name="Rounded Rectangle 15"/>
        <xdr:cNvSpPr/>
      </xdr:nvSpPr>
      <xdr:spPr>
        <a:xfrm>
          <a:off x="912757" y="3701143"/>
          <a:ext cx="2458848" cy="1943555"/>
        </a:xfrm>
        <a:prstGeom prst="roundRect">
          <a:avLst>
            <a:gd name="adj" fmla="val 3472"/>
          </a:avLst>
        </a:prstGeom>
        <a:ln>
          <a:noFill/>
        </a:ln>
        <a:effectLst>
          <a:outerShdw blurRad="50800" dist="38100" dir="2700000" algn="tl"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571500</xdr:colOff>
      <xdr:row>20</xdr:row>
      <xdr:rowOff>63499</xdr:rowOff>
    </xdr:from>
    <xdr:to>
      <xdr:col>5</xdr:col>
      <xdr:colOff>349250</xdr:colOff>
      <xdr:row>29</xdr:row>
      <xdr:rowOff>158750</xdr:rowOff>
    </xdr:to>
    <xdr:graphicFrame macro="">
      <xdr:nvGraphicFramePr>
        <xdr:cNvPr id="18"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310696</xdr:colOff>
      <xdr:row>20</xdr:row>
      <xdr:rowOff>0</xdr:rowOff>
    </xdr:from>
    <xdr:to>
      <xdr:col>9</xdr:col>
      <xdr:colOff>15875</xdr:colOff>
      <xdr:row>28</xdr:row>
      <xdr:rowOff>142875</xdr:rowOff>
    </xdr:to>
    <xdr:graphicFrame macro="">
      <xdr:nvGraphicFramePr>
        <xdr:cNvPr id="19"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333375</xdr:colOff>
      <xdr:row>19</xdr:row>
      <xdr:rowOff>111125</xdr:rowOff>
    </xdr:from>
    <xdr:to>
      <xdr:col>12</xdr:col>
      <xdr:colOff>587375</xdr:colOff>
      <xdr:row>28</xdr:row>
      <xdr:rowOff>174624</xdr:rowOff>
    </xdr:to>
    <xdr:graphicFrame macro="">
      <xdr:nvGraphicFramePr>
        <xdr:cNvPr id="2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284388</xdr:colOff>
      <xdr:row>9</xdr:row>
      <xdr:rowOff>15874</xdr:rowOff>
    </xdr:from>
    <xdr:to>
      <xdr:col>8</xdr:col>
      <xdr:colOff>57149</xdr:colOff>
      <xdr:row>18</xdr:row>
      <xdr:rowOff>174625</xdr:rowOff>
    </xdr:to>
    <xdr:graphicFrame macro="">
      <xdr:nvGraphicFramePr>
        <xdr:cNvPr id="2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304800</xdr:colOff>
      <xdr:row>8</xdr:row>
      <xdr:rowOff>66675</xdr:rowOff>
    </xdr:from>
    <xdr:to>
      <xdr:col>12</xdr:col>
      <xdr:colOff>600075</xdr:colOff>
      <xdr:row>17</xdr:row>
      <xdr:rowOff>190499</xdr:rowOff>
    </xdr:to>
    <xdr:graphicFrame macro="">
      <xdr:nvGraphicFramePr>
        <xdr:cNvPr id="24"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247649</xdr:colOff>
      <xdr:row>4</xdr:row>
      <xdr:rowOff>141514</xdr:rowOff>
    </xdr:from>
    <xdr:to>
      <xdr:col>3</xdr:col>
      <xdr:colOff>153865</xdr:colOff>
      <xdr:row>5</xdr:row>
      <xdr:rowOff>146538</xdr:rowOff>
    </xdr:to>
    <xdr:sp macro="" textlink="">
      <xdr:nvSpPr>
        <xdr:cNvPr id="27" name="Rounded Rectangle 26"/>
        <xdr:cNvSpPr/>
      </xdr:nvSpPr>
      <xdr:spPr>
        <a:xfrm>
          <a:off x="980341" y="903514"/>
          <a:ext cx="1122486" cy="195524"/>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t>TOTAL_</a:t>
          </a:r>
          <a:r>
            <a:rPr lang="en-US" sz="1000" baseline="0"/>
            <a:t> AMOUNT</a:t>
          </a:r>
          <a:endParaRPr lang="en-US" sz="1000"/>
        </a:p>
      </xdr:txBody>
    </xdr:sp>
    <xdr:clientData/>
  </xdr:twoCellAnchor>
  <xdr:twoCellAnchor>
    <xdr:from>
      <xdr:col>3</xdr:col>
      <xdr:colOff>302079</xdr:colOff>
      <xdr:row>4</xdr:row>
      <xdr:rowOff>84364</xdr:rowOff>
    </xdr:from>
    <xdr:to>
      <xdr:col>5</xdr:col>
      <xdr:colOff>315686</xdr:colOff>
      <xdr:row>7</xdr:row>
      <xdr:rowOff>168277</xdr:rowOff>
    </xdr:to>
    <xdr:sp macro="" textlink="">
      <xdr:nvSpPr>
        <xdr:cNvPr id="29" name="Rounded Rectangle 28"/>
        <xdr:cNvSpPr/>
      </xdr:nvSpPr>
      <xdr:spPr>
        <a:xfrm>
          <a:off x="2139043" y="846364"/>
          <a:ext cx="1238250" cy="655413"/>
        </a:xfrm>
        <a:prstGeom prst="roundRect">
          <a:avLst/>
        </a:prstGeom>
        <a:ln>
          <a:no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285750</xdr:colOff>
      <xdr:row>5</xdr:row>
      <xdr:rowOff>149680</xdr:rowOff>
    </xdr:from>
    <xdr:to>
      <xdr:col>3</xdr:col>
      <xdr:colOff>244929</xdr:colOff>
      <xdr:row>7</xdr:row>
      <xdr:rowOff>136072</xdr:rowOff>
    </xdr:to>
    <xdr:sp macro="" textlink="'PIVOT TABLE'!A37">
      <xdr:nvSpPr>
        <xdr:cNvPr id="30" name="TextBox 29"/>
        <xdr:cNvSpPr txBox="1"/>
      </xdr:nvSpPr>
      <xdr:spPr>
        <a:xfrm>
          <a:off x="898071" y="1102180"/>
          <a:ext cx="1183822" cy="36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1631EA5-D75D-43EA-AE1A-84A7724202D1}" type="TxLink">
            <a:rPr lang="en-US" sz="2000" b="0" i="0" u="none" strike="noStrike">
              <a:solidFill>
                <a:srgbClr val="FF0000"/>
              </a:solidFill>
              <a:latin typeface="Calibri"/>
              <a:cs typeface="Calibri"/>
            </a:rPr>
            <a:pPr algn="r"/>
            <a:t>896956</a:t>
          </a:fld>
          <a:endParaRPr lang="en-US" sz="2000">
            <a:solidFill>
              <a:srgbClr val="FF0000"/>
            </a:solidFill>
          </a:endParaRPr>
        </a:p>
      </xdr:txBody>
    </xdr:sp>
    <xdr:clientData/>
  </xdr:twoCellAnchor>
  <xdr:twoCellAnchor>
    <xdr:from>
      <xdr:col>3</xdr:col>
      <xdr:colOff>397329</xdr:colOff>
      <xdr:row>5</xdr:row>
      <xdr:rowOff>152400</xdr:rowOff>
    </xdr:from>
    <xdr:to>
      <xdr:col>5</xdr:col>
      <xdr:colOff>356508</xdr:colOff>
      <xdr:row>7</xdr:row>
      <xdr:rowOff>138792</xdr:rowOff>
    </xdr:to>
    <xdr:sp macro="" textlink="'PIVOT TABLE'!A40">
      <xdr:nvSpPr>
        <xdr:cNvPr id="31" name="TextBox 30"/>
        <xdr:cNvSpPr txBox="1"/>
      </xdr:nvSpPr>
      <xdr:spPr>
        <a:xfrm>
          <a:off x="2234293" y="1104900"/>
          <a:ext cx="1183822" cy="3673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314DC374-95EA-4EA0-B2E0-33C920F72C26}" type="TxLink">
            <a:rPr lang="en-US" sz="2000" b="0" i="0" u="none" strike="noStrike">
              <a:ln>
                <a:solidFill>
                  <a:schemeClr val="accent5"/>
                </a:solidFill>
              </a:ln>
              <a:solidFill>
                <a:srgbClr val="000000"/>
              </a:solidFill>
              <a:latin typeface="Calibri"/>
              <a:cs typeface="Calibri"/>
            </a:rPr>
            <a:pPr algn="r"/>
            <a:t>1657</a:t>
          </a:fld>
          <a:endParaRPr lang="en-US" sz="2000">
            <a:ln>
              <a:solidFill>
                <a:schemeClr val="accent5"/>
              </a:solidFill>
            </a:ln>
          </a:endParaRPr>
        </a:p>
      </xdr:txBody>
    </xdr:sp>
    <xdr:clientData/>
  </xdr:twoCellAnchor>
  <xdr:twoCellAnchor editAs="oneCell">
    <xdr:from>
      <xdr:col>5</xdr:col>
      <xdr:colOff>503463</xdr:colOff>
      <xdr:row>4</xdr:row>
      <xdr:rowOff>13606</xdr:rowOff>
    </xdr:from>
    <xdr:to>
      <xdr:col>10</xdr:col>
      <xdr:colOff>380999</xdr:colOff>
      <xdr:row>7</xdr:row>
      <xdr:rowOff>163285</xdr:rowOff>
    </xdr:to>
    <mc:AlternateContent xmlns:mc="http://schemas.openxmlformats.org/markup-compatibility/2006" xmlns:a14="http://schemas.microsoft.com/office/drawing/2010/main">
      <mc:Choice Requires="a14">
        <xdr:graphicFrame macro="">
          <xdr:nvGraphicFramePr>
            <xdr:cNvPr id="36"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684813" y="775606"/>
              <a:ext cx="2925536" cy="721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326573</xdr:colOff>
      <xdr:row>4</xdr:row>
      <xdr:rowOff>14654</xdr:rowOff>
    </xdr:from>
    <xdr:to>
      <xdr:col>12</xdr:col>
      <xdr:colOff>571501</xdr:colOff>
      <xdr:row>7</xdr:row>
      <xdr:rowOff>163285</xdr:rowOff>
    </xdr:to>
    <mc:AlternateContent xmlns:mc="http://schemas.openxmlformats.org/markup-compatibility/2006" xmlns:a14="http://schemas.microsoft.com/office/drawing/2010/main">
      <mc:Choice Requires="a14">
        <xdr:graphicFrame macro="">
          <xdr:nvGraphicFramePr>
            <xdr:cNvPr id="37"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6555923" y="748392"/>
              <a:ext cx="1464128" cy="7483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321062</xdr:colOff>
      <xdr:row>4</xdr:row>
      <xdr:rowOff>149877</xdr:rowOff>
    </xdr:from>
    <xdr:to>
      <xdr:col>5</xdr:col>
      <xdr:colOff>170985</xdr:colOff>
      <xdr:row>5</xdr:row>
      <xdr:rowOff>139212</xdr:rowOff>
    </xdr:to>
    <xdr:sp macro="" textlink="">
      <xdr:nvSpPr>
        <xdr:cNvPr id="32" name="Rounded Rectangle 31"/>
        <xdr:cNvSpPr/>
      </xdr:nvSpPr>
      <xdr:spPr>
        <a:xfrm>
          <a:off x="2270024" y="911877"/>
          <a:ext cx="1066192" cy="179835"/>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000"/>
            <a:t>SUM</a:t>
          </a:r>
          <a:r>
            <a:rPr lang="en-US" sz="1000" baseline="0"/>
            <a:t>_QUANTITY</a:t>
          </a:r>
          <a:endParaRPr lang="en-US" sz="1000"/>
        </a:p>
      </xdr:txBody>
    </xdr:sp>
    <xdr:clientData/>
  </xdr:twoCellAnchor>
  <xdr:twoCellAnchor>
    <xdr:from>
      <xdr:col>9</xdr:col>
      <xdr:colOff>124558</xdr:colOff>
      <xdr:row>8</xdr:row>
      <xdr:rowOff>63574</xdr:rowOff>
    </xdr:from>
    <xdr:to>
      <xdr:col>12</xdr:col>
      <xdr:colOff>498231</xdr:colOff>
      <xdr:row>9</xdr:row>
      <xdr:rowOff>87923</xdr:rowOff>
    </xdr:to>
    <xdr:sp macro="" textlink="">
      <xdr:nvSpPr>
        <xdr:cNvPr id="33" name="Rounded Rectangle 32"/>
        <xdr:cNvSpPr/>
      </xdr:nvSpPr>
      <xdr:spPr>
        <a:xfrm>
          <a:off x="5722327" y="1587574"/>
          <a:ext cx="2198077" cy="214849"/>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PAY_METHOD</a:t>
          </a:r>
          <a:r>
            <a:rPr lang="en-US" sz="1000" baseline="0"/>
            <a:t> BY TOTAL AMOUNT</a:t>
          </a:r>
          <a:endParaRPr lang="en-US" sz="1000"/>
        </a:p>
      </xdr:txBody>
    </xdr:sp>
    <xdr:clientData/>
  </xdr:twoCellAnchor>
  <xdr:twoCellAnchor>
    <xdr:from>
      <xdr:col>5</xdr:col>
      <xdr:colOff>567258</xdr:colOff>
      <xdr:row>30</xdr:row>
      <xdr:rowOff>186263</xdr:rowOff>
    </xdr:from>
    <xdr:to>
      <xdr:col>8</xdr:col>
      <xdr:colOff>593481</xdr:colOff>
      <xdr:row>32</xdr:row>
      <xdr:rowOff>51288</xdr:rowOff>
    </xdr:to>
    <xdr:sp macro="" textlink="">
      <xdr:nvSpPr>
        <xdr:cNvPr id="34" name="Rounded Rectangle 33"/>
        <xdr:cNvSpPr/>
      </xdr:nvSpPr>
      <xdr:spPr>
        <a:xfrm>
          <a:off x="3732489" y="5901263"/>
          <a:ext cx="1850627" cy="246025"/>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a:t>PRODUCT_NAME BY QUANTITY</a:t>
          </a:r>
        </a:p>
      </xdr:txBody>
    </xdr:sp>
    <xdr:clientData/>
  </xdr:twoCellAnchor>
  <xdr:twoCellAnchor>
    <xdr:from>
      <xdr:col>1</xdr:col>
      <xdr:colOff>263770</xdr:colOff>
      <xdr:row>19</xdr:row>
      <xdr:rowOff>124558</xdr:rowOff>
    </xdr:from>
    <xdr:to>
      <xdr:col>5</xdr:col>
      <xdr:colOff>153864</xdr:colOff>
      <xdr:row>20</xdr:row>
      <xdr:rowOff>146538</xdr:rowOff>
    </xdr:to>
    <xdr:sp macro="" textlink="">
      <xdr:nvSpPr>
        <xdr:cNvPr id="35" name="Rounded Rectangle 34"/>
        <xdr:cNvSpPr/>
      </xdr:nvSpPr>
      <xdr:spPr>
        <a:xfrm>
          <a:off x="996462" y="3744058"/>
          <a:ext cx="2322633" cy="212480"/>
        </a:xfrm>
        <a:prstGeom prst="roundRect">
          <a:avLst>
            <a:gd name="adj" fmla="val 13219"/>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PRODUCT_CAT BY TOTAL AMOUNT</a:t>
          </a:r>
        </a:p>
      </xdr:txBody>
    </xdr:sp>
    <xdr:clientData/>
  </xdr:twoCellAnchor>
  <xdr:twoCellAnchor>
    <xdr:from>
      <xdr:col>9</xdr:col>
      <xdr:colOff>337039</xdr:colOff>
      <xdr:row>19</xdr:row>
      <xdr:rowOff>80597</xdr:rowOff>
    </xdr:from>
    <xdr:to>
      <xdr:col>12</xdr:col>
      <xdr:colOff>630115</xdr:colOff>
      <xdr:row>20</xdr:row>
      <xdr:rowOff>80597</xdr:rowOff>
    </xdr:to>
    <xdr:sp macro="" textlink="">
      <xdr:nvSpPr>
        <xdr:cNvPr id="39" name="Rounded Rectangle 38"/>
        <xdr:cNvSpPr/>
      </xdr:nvSpPr>
      <xdr:spPr>
        <a:xfrm>
          <a:off x="5934808" y="3700097"/>
          <a:ext cx="2117480" cy="190500"/>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LOCATION</a:t>
          </a:r>
          <a:r>
            <a:rPr lang="en-US" sz="1000" baseline="0"/>
            <a:t> BY PRODUCT_CATEGORY</a:t>
          </a:r>
          <a:endParaRPr lang="en-US" sz="1000"/>
        </a:p>
      </xdr:txBody>
    </xdr:sp>
    <xdr:clientData/>
  </xdr:twoCellAnchor>
  <xdr:twoCellAnchor>
    <xdr:from>
      <xdr:col>6</xdr:col>
      <xdr:colOff>36635</xdr:colOff>
      <xdr:row>19</xdr:row>
      <xdr:rowOff>73270</xdr:rowOff>
    </xdr:from>
    <xdr:to>
      <xdr:col>8</xdr:col>
      <xdr:colOff>534865</xdr:colOff>
      <xdr:row>20</xdr:row>
      <xdr:rowOff>80596</xdr:rowOff>
    </xdr:to>
    <xdr:sp macro="" textlink="">
      <xdr:nvSpPr>
        <xdr:cNvPr id="40" name="Rounded Rectangle 39"/>
        <xdr:cNvSpPr/>
      </xdr:nvSpPr>
      <xdr:spPr>
        <a:xfrm>
          <a:off x="3810000" y="3692770"/>
          <a:ext cx="1714500" cy="197826"/>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GENDER</a:t>
          </a:r>
          <a:r>
            <a:rPr lang="en-US" sz="1000" baseline="0"/>
            <a:t> BY QUANTITY</a:t>
          </a:r>
          <a:endParaRPr lang="en-US" sz="1000"/>
        </a:p>
      </xdr:txBody>
    </xdr:sp>
    <xdr:clientData/>
  </xdr:twoCellAnchor>
  <xdr:twoCellAnchor>
    <xdr:from>
      <xdr:col>3</xdr:col>
      <xdr:colOff>225797</xdr:colOff>
      <xdr:row>8</xdr:row>
      <xdr:rowOff>117708</xdr:rowOff>
    </xdr:from>
    <xdr:to>
      <xdr:col>6</xdr:col>
      <xdr:colOff>476249</xdr:colOff>
      <xdr:row>9</xdr:row>
      <xdr:rowOff>131884</xdr:rowOff>
    </xdr:to>
    <xdr:sp macro="" textlink="">
      <xdr:nvSpPr>
        <xdr:cNvPr id="42" name="Rounded Rectangle 41"/>
        <xdr:cNvSpPr/>
      </xdr:nvSpPr>
      <xdr:spPr>
        <a:xfrm>
          <a:off x="2174759" y="1641708"/>
          <a:ext cx="2074855" cy="204676"/>
        </a:xfrm>
        <a:prstGeom prst="roundRect">
          <a:avLst/>
        </a:prstGeom>
        <a:solidFill>
          <a:schemeClr val="bg2">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t>PRODUCT NAME BY QUANTITY</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25</xdr:row>
      <xdr:rowOff>176893</xdr:rowOff>
    </xdr:from>
    <xdr:to>
      <xdr:col>26</xdr:col>
      <xdr:colOff>68036</xdr:colOff>
      <xdr:row>62</xdr:row>
      <xdr:rowOff>68036</xdr:rowOff>
    </xdr:to>
    <xdr:sp macro="" textlink="">
      <xdr:nvSpPr>
        <xdr:cNvPr id="2" name="TextBox 1"/>
        <xdr:cNvSpPr txBox="1"/>
      </xdr:nvSpPr>
      <xdr:spPr>
        <a:xfrm>
          <a:off x="0" y="5361214"/>
          <a:ext cx="15988393" cy="6939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5400" b="1">
              <a:solidFill>
                <a:schemeClr val="tx1"/>
              </a:solidFill>
            </a:rPr>
            <a:t>THANK YOU</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020.821927199075" createdVersion="5" refreshedVersion="5" minRefreshableVersion="3" recordCount="250">
  <cacheSource type="worksheet">
    <worksheetSource name="Table2"/>
  </cacheSource>
  <cacheFields count="12">
    <cacheField name="S/N" numFmtId="0">
      <sharedItems containsSemiMixedTypes="0" containsString="0" containsNumber="1" containsInteger="1" minValue="1" maxValue="250"/>
    </cacheField>
    <cacheField name="INVOICE_ID" numFmtId="0">
      <sharedItems/>
    </cacheField>
    <cacheField name="CUSTOMER_NAME" numFmtId="0">
      <sharedItems/>
    </cacheField>
    <cacheField name="GENDER" numFmtId="0">
      <sharedItems count="2">
        <s v="FEMALE"/>
        <s v="MALE"/>
      </sharedItems>
    </cacheField>
    <cacheField name="PRODUCT_CATEGORY" numFmtId="0">
      <sharedItems count="4">
        <s v="SNACKS"/>
        <s v="BEVERAGES"/>
        <s v="HOUSEHOLD"/>
        <s v="PERSONAL CARE"/>
      </sharedItems>
    </cacheField>
    <cacheField name="PRODUCT_NAME" numFmtId="0">
      <sharedItems count="20">
        <s v="BISCUITS"/>
        <s v="FANTA"/>
        <s v="TOILET PAPER"/>
        <s v="SOAP"/>
        <s v="COKE"/>
        <s v="SHAMPOO"/>
        <s v="CHIN CHIN"/>
        <s v="LOTION"/>
        <s v="AIR FRESHENER"/>
        <s v="DETERGENT"/>
        <s v="JUICE"/>
        <s v="COOKIES"/>
        <s v="PEPSI"/>
        <s v="GRANOLA BAR"/>
        <s v="CHIPS"/>
        <s v="WATER"/>
        <s v="HAND SANITIZER"/>
        <s v="BLEACH"/>
        <s v="DEODORANT"/>
        <s v="TOOTHPASTE"/>
      </sharedItems>
    </cacheField>
    <cacheField name="QUANTITY" numFmtId="1">
      <sharedItems containsSemiMixedTypes="0" containsString="0" containsNumber="1" containsInteger="1" minValue="1" maxValue="140" count="12">
        <n v="2"/>
        <n v="5"/>
        <n v="10"/>
        <n v="7"/>
        <n v="6"/>
        <n v="1"/>
        <n v="3"/>
        <n v="8"/>
        <n v="4"/>
        <n v="9"/>
        <n v="140"/>
        <n v="120"/>
      </sharedItems>
    </cacheField>
    <cacheField name="UNIT_PRICE" numFmtId="1">
      <sharedItems containsMixedTypes="1" containsNumber="1" containsInteger="1" minValue="53" maxValue="9450"/>
    </cacheField>
    <cacheField name="TOTAL_AMOUNT" numFmtId="0">
      <sharedItems containsSemiMixedTypes="0" containsString="0" containsNumber="1" containsInteger="1" minValue="106" maxValue="100520" count="240">
        <n v="1786"/>
        <n v="4915"/>
        <n v="2900"/>
        <n v="2849"/>
        <n v="960"/>
        <n v="402"/>
        <n v="7630"/>
        <n v="1176"/>
        <n v="6608"/>
        <n v="2965"/>
        <n v="4125"/>
        <n v="366"/>
        <n v="2560"/>
        <n v="3796"/>
        <n v="2094"/>
        <n v="3430"/>
        <n v="2915"/>
        <n v="2000"/>
        <n v="3650"/>
        <n v="479"/>
        <n v="388"/>
        <n v="840"/>
        <n v="5790"/>
        <n v="789"/>
        <n v="291"/>
        <n v="4113"/>
        <n v="2316"/>
        <n v="2896"/>
        <n v="274"/>
        <n v="1040"/>
        <n v="764"/>
        <n v="1728"/>
        <n v="1475"/>
        <n v="5360"/>
        <n v="1596"/>
        <n v="7110"/>
        <n v="8928"/>
        <n v="790"/>
        <n v="5240"/>
        <n v="729"/>
        <n v="6352"/>
        <n v="7992"/>
        <n v="137"/>
        <n v="1815"/>
        <n v="2484"/>
        <n v="146"/>
        <n v="7720"/>
        <n v="8820"/>
        <n v="2645"/>
        <n v="3730"/>
        <n v="865"/>
        <n v="4970"/>
        <n v="681"/>
        <n v="3108"/>
        <n v="2400"/>
        <n v="1820"/>
        <n v="2475"/>
        <n v="5887"/>
        <n v="324"/>
        <n v="431"/>
        <n v="28350"/>
        <n v="3805"/>
        <n v="1400"/>
        <n v="2112"/>
        <n v="848"/>
        <n v="6417"/>
        <n v="4610"/>
        <n v="3776"/>
        <n v="3594"/>
        <n v="8343"/>
        <n v="4302"/>
        <n v="106"/>
        <n v="504"/>
        <n v="1470"/>
        <n v="2487"/>
        <n v="187"/>
        <n v="249"/>
        <n v="472"/>
        <n v="732"/>
        <n v="6111"/>
        <n v="253"/>
        <n v="3297"/>
        <n v="2390"/>
        <n v="2064"/>
        <n v="174"/>
        <n v="2744"/>
        <n v="4230"/>
        <n v="2529"/>
        <n v="1732"/>
        <n v="628"/>
        <n v="2730"/>
        <n v="1916"/>
        <n v="9750"/>
        <n v="7904"/>
        <n v="4250"/>
        <n v="4434"/>
        <n v="1687"/>
        <n v="2181"/>
        <n v="7434"/>
        <n v="477"/>
        <n v="816"/>
        <n v="6512"/>
        <n v="5480"/>
        <n v="546"/>
        <n v="1442"/>
        <n v="4060"/>
        <n v="2680"/>
        <n v="5292"/>
        <n v="5544"/>
        <n v="9810"/>
        <n v="100520"/>
        <n v="5676"/>
        <n v="5448"/>
        <n v="1390"/>
        <n v="3724"/>
        <n v="9570"/>
        <n v="6335"/>
        <n v="660"/>
        <n v="3944"/>
        <n v="870"/>
        <n v="2268"/>
        <n v="680"/>
        <n v="1432"/>
        <n v="5922"/>
        <n v="5936"/>
        <n v="5202"/>
        <n v="5256"/>
        <n v="2829"/>
        <n v="1690"/>
        <n v="6220"/>
        <n v="2100"/>
        <n v="1816"/>
        <n v="128"/>
        <n v="9080"/>
        <n v="2652"/>
        <n v="1926"/>
        <n v="2976"/>
        <n v="5248"/>
        <n v="1408"/>
        <n v="5424"/>
        <n v="527"/>
        <n v="3180"/>
        <n v="5152"/>
        <n v="2589"/>
        <n v="1006"/>
        <n v="326"/>
        <n v="6909"/>
        <n v="2470"/>
        <n v="2241"/>
        <n v="4440"/>
        <n v="2166"/>
        <n v="1280"/>
        <n v="7362"/>
        <n v="1568"/>
        <n v="6048"/>
        <n v="4193"/>
        <n v="542"/>
        <n v="3524"/>
        <n v="5316"/>
        <n v="2904"/>
        <n v="2569"/>
        <n v="4630"/>
        <n v="3384"/>
        <n v="658"/>
        <n v="6888"/>
        <n v="1128"/>
        <n v="4400"/>
        <n v="2080"/>
        <n v="1980"/>
        <n v="6958"/>
        <n v="5830"/>
        <n v="780"/>
        <n v="2760"/>
        <n v="534"/>
        <n v="2096"/>
        <n v="1544"/>
        <n v="2405"/>
        <n v="1468"/>
        <n v="2611"/>
        <n v="3835"/>
        <n v="654"/>
        <n v="322"/>
        <n v="2394"/>
        <n v="4528"/>
        <n v="6940"/>
        <n v="1606"/>
        <n v="3836"/>
        <n v="4670"/>
        <n v="3966"/>
        <n v="522"/>
        <n v="2352"/>
        <n v="1461"/>
        <n v="6129"/>
        <n v="7144"/>
        <n v="3564"/>
        <n v="414"/>
        <n v="5382"/>
        <n v="486"/>
        <n v="4908"/>
        <n v="1092"/>
        <n v="1600"/>
        <n v="6342"/>
        <n v="6125"/>
        <n v="608"/>
        <n v="396"/>
        <n v="4312"/>
        <n v="2289"/>
        <n v="1998"/>
        <n v="1156"/>
        <n v="624"/>
        <n v="1372"/>
        <n v="3950"/>
        <n v="1900"/>
        <n v="2552"/>
        <n v="2980"/>
        <n v="896"/>
        <n v="1729"/>
        <n v="4390"/>
        <n v="775"/>
        <n v="1911"/>
        <n v="2548"/>
        <n v="21120"/>
        <n v="6970"/>
        <n v="688"/>
        <n v="2751"/>
        <n v="6435"/>
        <n v="768"/>
        <n v="113"/>
        <n v="4620"/>
        <n v="968"/>
        <n v="4086"/>
        <n v="4600"/>
        <n v="644"/>
        <n v="438"/>
        <n v="5364"/>
        <n v="3059"/>
        <n v="3017"/>
        <n v="623"/>
        <n v="2085"/>
        <n v="4585"/>
      </sharedItems>
    </cacheField>
    <cacheField name="PAYMENT_METHOD" numFmtId="0">
      <sharedItems count="4">
        <s v="Cash"/>
        <s v="Online"/>
        <s v="Transfer"/>
        <s v="POS"/>
      </sharedItems>
    </cacheField>
    <cacheField name="DATE" numFmtId="14">
      <sharedItems containsSemiMixedTypes="0" containsNonDate="0" containsDate="1" containsString="0" minDate="2025-06-03T00:00:00" maxDate="2025-07-11T00:00:00"/>
    </cacheField>
    <cacheField name="LOCATION" numFmtId="0">
      <sharedItems count="7">
        <s v="PORT HARCOURT"/>
        <s v="BENIN CITY"/>
        <s v="LAGOS "/>
        <s v="IBADAN"/>
        <s v="LAGOS"/>
        <s v="ABUJA"/>
        <s v="KA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
  <r>
    <n v="1"/>
    <s v="INV001"/>
    <s v="ANGELICA TAYLOR"/>
    <x v="0"/>
    <x v="0"/>
    <x v="0"/>
    <x v="0"/>
    <n v="893"/>
    <x v="0"/>
    <x v="0"/>
    <d v="2025-06-30T00:00:00"/>
    <x v="0"/>
  </r>
  <r>
    <n v="2"/>
    <s v="INV002"/>
    <s v="MARY WILLIAMS"/>
    <x v="0"/>
    <x v="1"/>
    <x v="1"/>
    <x v="1"/>
    <n v="983"/>
    <x v="1"/>
    <x v="1"/>
    <d v="2025-06-13T00:00:00"/>
    <x v="1"/>
  </r>
  <r>
    <n v="3"/>
    <s v="INV003"/>
    <s v="GEORGE KING"/>
    <x v="1"/>
    <x v="0"/>
    <x v="0"/>
    <x v="2"/>
    <s v="290"/>
    <x v="2"/>
    <x v="2"/>
    <d v="2025-06-17T00:00:00"/>
    <x v="2"/>
  </r>
  <r>
    <n v="4"/>
    <s v="INV004"/>
    <s v="ANGELICA MORRISON"/>
    <x v="0"/>
    <x v="2"/>
    <x v="2"/>
    <x v="3"/>
    <n v="407"/>
    <x v="3"/>
    <x v="2"/>
    <d v="2025-06-28T00:00:00"/>
    <x v="3"/>
  </r>
  <r>
    <n v="5"/>
    <s v="INV005"/>
    <s v="MADISON WERNER"/>
    <x v="0"/>
    <x v="2"/>
    <x v="2"/>
    <x v="4"/>
    <n v="160"/>
    <x v="4"/>
    <x v="0"/>
    <d v="2025-06-12T00:00:00"/>
    <x v="4"/>
  </r>
  <r>
    <n v="6"/>
    <s v="INV006"/>
    <s v="CAROL WASHINGTON"/>
    <x v="1"/>
    <x v="2"/>
    <x v="3"/>
    <x v="5"/>
    <n v="402"/>
    <x v="5"/>
    <x v="2"/>
    <d v="2025-06-20T00:00:00"/>
    <x v="0"/>
  </r>
  <r>
    <n v="7"/>
    <s v="INV007"/>
    <s v="DUSTIN COOPER"/>
    <x v="0"/>
    <x v="1"/>
    <x v="4"/>
    <x v="2"/>
    <n v="763"/>
    <x v="6"/>
    <x v="2"/>
    <d v="2025-06-08T00:00:00"/>
    <x v="3"/>
  </r>
  <r>
    <n v="8"/>
    <s v="INV008"/>
    <s v="VERONICA LLOYD"/>
    <x v="0"/>
    <x v="3"/>
    <x v="5"/>
    <x v="6"/>
    <n v="392"/>
    <x v="7"/>
    <x v="1"/>
    <d v="2025-06-14T00:00:00"/>
    <x v="3"/>
  </r>
  <r>
    <n v="9"/>
    <s v="INV009"/>
    <s v="GREGORY LONG"/>
    <x v="0"/>
    <x v="0"/>
    <x v="6"/>
    <x v="3"/>
    <n v="944"/>
    <x v="8"/>
    <x v="3"/>
    <d v="2025-06-26T00:00:00"/>
    <x v="0"/>
  </r>
  <r>
    <n v="10"/>
    <s v="INV010"/>
    <s v="AMY ORTIZ"/>
    <x v="0"/>
    <x v="1"/>
    <x v="1"/>
    <x v="1"/>
    <n v="593"/>
    <x v="9"/>
    <x v="2"/>
    <d v="2025-06-22T00:00:00"/>
    <x v="4"/>
  </r>
  <r>
    <n v="11"/>
    <s v="INV011"/>
    <s v="SHARON HARTMAN"/>
    <x v="1"/>
    <x v="2"/>
    <x v="3"/>
    <x v="1"/>
    <n v="825"/>
    <x v="10"/>
    <x v="3"/>
    <d v="2025-06-30T00:00:00"/>
    <x v="1"/>
  </r>
  <r>
    <n v="12"/>
    <s v="INV012"/>
    <s v="MARY LAWSON"/>
    <x v="1"/>
    <x v="3"/>
    <x v="7"/>
    <x v="6"/>
    <n v="122"/>
    <x v="11"/>
    <x v="1"/>
    <d v="2025-06-12T00:00:00"/>
    <x v="1"/>
  </r>
  <r>
    <n v="13"/>
    <s v="INV013"/>
    <s v="CINDY ORTIZ"/>
    <x v="1"/>
    <x v="1"/>
    <x v="4"/>
    <x v="7"/>
    <n v="320"/>
    <x v="12"/>
    <x v="2"/>
    <d v="2025-06-29T00:00:00"/>
    <x v="0"/>
  </r>
  <r>
    <n v="14"/>
    <s v="INV014"/>
    <s v="SARAH HALL"/>
    <x v="1"/>
    <x v="0"/>
    <x v="6"/>
    <x v="8"/>
    <n v="949"/>
    <x v="13"/>
    <x v="1"/>
    <d v="2025-07-02T00:00:00"/>
    <x v="0"/>
  </r>
  <r>
    <n v="15"/>
    <s v="INV015"/>
    <s v="AMBER MORRISON"/>
    <x v="1"/>
    <x v="2"/>
    <x v="8"/>
    <x v="6"/>
    <n v="698"/>
    <x v="14"/>
    <x v="1"/>
    <d v="2025-06-27T00:00:00"/>
    <x v="0"/>
  </r>
  <r>
    <n v="16"/>
    <s v="INV016"/>
    <s v="MARCUS REED"/>
    <x v="1"/>
    <x v="3"/>
    <x v="5"/>
    <x v="2"/>
    <n v="343"/>
    <x v="15"/>
    <x v="3"/>
    <d v="2025-06-28T00:00:00"/>
    <x v="5"/>
  </r>
  <r>
    <n v="17"/>
    <s v="INV017"/>
    <s v="NICOLE SHELTON"/>
    <x v="1"/>
    <x v="1"/>
    <x v="4"/>
    <x v="1"/>
    <n v="583"/>
    <x v="16"/>
    <x v="1"/>
    <d v="2025-06-18T00:00:00"/>
    <x v="0"/>
  </r>
  <r>
    <n v="18"/>
    <s v="INV018"/>
    <s v="JAMES DANIEL"/>
    <x v="1"/>
    <x v="2"/>
    <x v="9"/>
    <x v="0"/>
    <n v="1000"/>
    <x v="17"/>
    <x v="3"/>
    <d v="2025-06-28T00:00:00"/>
    <x v="5"/>
  </r>
  <r>
    <n v="19"/>
    <s v="INV019"/>
    <s v="CHRISTY HARRIS"/>
    <x v="1"/>
    <x v="1"/>
    <x v="1"/>
    <x v="2"/>
    <n v="365"/>
    <x v="18"/>
    <x v="0"/>
    <d v="2025-06-06T00:00:00"/>
    <x v="3"/>
  </r>
  <r>
    <n v="20"/>
    <s v="INV020"/>
    <s v="DONNA WOODS"/>
    <x v="1"/>
    <x v="1"/>
    <x v="10"/>
    <x v="2"/>
    <n v="256"/>
    <x v="12"/>
    <x v="1"/>
    <d v="2025-06-26T00:00:00"/>
    <x v="3"/>
  </r>
  <r>
    <n v="21"/>
    <s v="INV021"/>
    <s v="RUSSELL PRICE"/>
    <x v="0"/>
    <x v="0"/>
    <x v="11"/>
    <x v="5"/>
    <n v="479"/>
    <x v="19"/>
    <x v="2"/>
    <d v="2025-06-07T00:00:00"/>
    <x v="6"/>
  </r>
  <r>
    <n v="22"/>
    <s v="INV022"/>
    <s v="DAVID DRAKE"/>
    <x v="0"/>
    <x v="3"/>
    <x v="5"/>
    <x v="8"/>
    <n v="97"/>
    <x v="20"/>
    <x v="1"/>
    <d v="2025-06-20T00:00:00"/>
    <x v="6"/>
  </r>
  <r>
    <n v="23"/>
    <s v="INV023"/>
    <s v="SARAH RICHARDSON"/>
    <x v="1"/>
    <x v="3"/>
    <x v="5"/>
    <x v="1"/>
    <n v="168"/>
    <x v="21"/>
    <x v="3"/>
    <d v="2025-06-19T00:00:00"/>
    <x v="5"/>
  </r>
  <r>
    <n v="24"/>
    <s v="INV024"/>
    <s v="JESSICA HAYES"/>
    <x v="0"/>
    <x v="1"/>
    <x v="1"/>
    <x v="2"/>
    <n v="579"/>
    <x v="22"/>
    <x v="3"/>
    <d v="2025-07-02T00:00:00"/>
    <x v="4"/>
  </r>
  <r>
    <n v="25"/>
    <s v="INV025"/>
    <s v="INV025"/>
    <x v="1"/>
    <x v="2"/>
    <x v="9"/>
    <x v="6"/>
    <n v="263"/>
    <x v="23"/>
    <x v="3"/>
    <d v="2025-07-02T00:00:00"/>
    <x v="6"/>
  </r>
  <r>
    <n v="26"/>
    <s v="INV026"/>
    <s v="DR. ZACHARY ALVAREZ MD"/>
    <x v="0"/>
    <x v="1"/>
    <x v="12"/>
    <x v="5"/>
    <n v="291"/>
    <x v="24"/>
    <x v="1"/>
    <d v="2025-06-22T00:00:00"/>
    <x v="5"/>
  </r>
  <r>
    <n v="27"/>
    <s v="INV027"/>
    <s v="BRANDON BARNETT"/>
    <x v="0"/>
    <x v="1"/>
    <x v="1"/>
    <x v="9"/>
    <n v="457"/>
    <x v="25"/>
    <x v="0"/>
    <d v="2025-06-29T00:00:00"/>
    <x v="1"/>
  </r>
  <r>
    <n v="28"/>
    <s v="INV028"/>
    <s v="ROBERT TAYLOR"/>
    <x v="0"/>
    <x v="2"/>
    <x v="9"/>
    <x v="6"/>
    <n v="772"/>
    <x v="26"/>
    <x v="0"/>
    <d v="2025-06-21T00:00:00"/>
    <x v="3"/>
  </r>
  <r>
    <n v="29"/>
    <s v="INV029"/>
    <s v="AMBER PARKER"/>
    <x v="1"/>
    <x v="0"/>
    <x v="0"/>
    <x v="7"/>
    <n v="362"/>
    <x v="27"/>
    <x v="1"/>
    <d v="2025-06-03T00:00:00"/>
    <x v="0"/>
  </r>
  <r>
    <n v="30"/>
    <s v="INV030"/>
    <s v="MARY CARLSON"/>
    <x v="0"/>
    <x v="2"/>
    <x v="2"/>
    <x v="5"/>
    <n v="274"/>
    <x v="28"/>
    <x v="2"/>
    <d v="2025-06-05T00:00:00"/>
    <x v="6"/>
  </r>
  <r>
    <n v="31"/>
    <s v="INV031"/>
    <s v="DAVID ALLEN"/>
    <x v="0"/>
    <x v="0"/>
    <x v="13"/>
    <x v="2"/>
    <n v="104"/>
    <x v="29"/>
    <x v="0"/>
    <d v="2025-06-04T00:00:00"/>
    <x v="1"/>
  </r>
  <r>
    <n v="32"/>
    <s v="INV032"/>
    <s v="SEAN COLEMAN"/>
    <x v="1"/>
    <x v="1"/>
    <x v="1"/>
    <x v="5"/>
    <n v="764"/>
    <x v="30"/>
    <x v="3"/>
    <d v="2025-06-28T00:00:00"/>
    <x v="0"/>
  </r>
  <r>
    <n v="33"/>
    <s v="INV033"/>
    <s v="JOSEPH DURAN"/>
    <x v="0"/>
    <x v="2"/>
    <x v="9"/>
    <x v="9"/>
    <n v="192"/>
    <x v="31"/>
    <x v="2"/>
    <d v="2025-06-17T00:00:00"/>
    <x v="5"/>
  </r>
  <r>
    <n v="34"/>
    <s v="INV034"/>
    <s v="DEBORAH PEREZ"/>
    <x v="1"/>
    <x v="0"/>
    <x v="11"/>
    <x v="1"/>
    <n v="295"/>
    <x v="32"/>
    <x v="0"/>
    <d v="2025-06-29T00:00:00"/>
    <x v="5"/>
  </r>
  <r>
    <n v="35"/>
    <s v="INV035"/>
    <s v="ANTHONY PUGH"/>
    <x v="1"/>
    <x v="3"/>
    <x v="7"/>
    <x v="2"/>
    <n v="536"/>
    <x v="33"/>
    <x v="3"/>
    <d v="2025-06-07T00:00:00"/>
    <x v="1"/>
  </r>
  <r>
    <n v="36"/>
    <s v="INV036"/>
    <s v="TYLER HARVEY"/>
    <x v="0"/>
    <x v="0"/>
    <x v="14"/>
    <x v="3"/>
    <n v="228"/>
    <x v="34"/>
    <x v="2"/>
    <d v="2025-06-24T00:00:00"/>
    <x v="1"/>
  </r>
  <r>
    <n v="37"/>
    <s v="INV037"/>
    <s v="RUTH GARCIA"/>
    <x v="0"/>
    <x v="1"/>
    <x v="15"/>
    <x v="2"/>
    <n v="711"/>
    <x v="35"/>
    <x v="1"/>
    <d v="2025-06-22T00:00:00"/>
    <x v="0"/>
  </r>
  <r>
    <n v="38"/>
    <s v="INV038"/>
    <s v="LINDSEY HENRY"/>
    <x v="1"/>
    <x v="0"/>
    <x v="14"/>
    <x v="9"/>
    <n v="992"/>
    <x v="36"/>
    <x v="0"/>
    <d v="2025-06-19T00:00:00"/>
    <x v="0"/>
  </r>
  <r>
    <n v="39"/>
    <s v="INV039"/>
    <s v="DAVID RUIZ"/>
    <x v="0"/>
    <x v="3"/>
    <x v="7"/>
    <x v="0"/>
    <n v="395"/>
    <x v="37"/>
    <x v="0"/>
    <d v="2025-06-06T00:00:00"/>
    <x v="4"/>
  </r>
  <r>
    <n v="40"/>
    <s v="INV040"/>
    <s v="YOLANDA WARD"/>
    <x v="0"/>
    <x v="0"/>
    <x v="6"/>
    <x v="2"/>
    <n v="524"/>
    <x v="38"/>
    <x v="0"/>
    <d v="2025-06-20T00:00:00"/>
    <x v="6"/>
  </r>
  <r>
    <n v="41"/>
    <s v="INV041"/>
    <s v="CHRISTOPHER YOUNG"/>
    <x v="0"/>
    <x v="0"/>
    <x v="13"/>
    <x v="5"/>
    <n v="729"/>
    <x v="39"/>
    <x v="3"/>
    <d v="2025-06-10T00:00:00"/>
    <x v="5"/>
  </r>
  <r>
    <n v="42"/>
    <s v="INV042"/>
    <s v="MICHAEL HALL"/>
    <x v="0"/>
    <x v="3"/>
    <x v="16"/>
    <x v="7"/>
    <n v="794"/>
    <x v="40"/>
    <x v="1"/>
    <d v="2025-06-23T00:00:00"/>
    <x v="4"/>
  </r>
  <r>
    <n v="43"/>
    <s v="INV043"/>
    <s v="JESSICA WILLIAMS"/>
    <x v="1"/>
    <x v="2"/>
    <x v="8"/>
    <x v="7"/>
    <n v="999"/>
    <x v="41"/>
    <x v="3"/>
    <d v="2025-06-11T00:00:00"/>
    <x v="0"/>
  </r>
  <r>
    <n v="44"/>
    <s v="INV044"/>
    <s v="REBECCA CHARLES"/>
    <x v="0"/>
    <x v="0"/>
    <x v="6"/>
    <x v="5"/>
    <n v="137"/>
    <x v="42"/>
    <x v="2"/>
    <d v="2025-06-27T00:00:00"/>
    <x v="6"/>
  </r>
  <r>
    <n v="45"/>
    <s v="INV045"/>
    <s v="MICHELLE DURAN"/>
    <x v="0"/>
    <x v="1"/>
    <x v="4"/>
    <x v="6"/>
    <n v="605"/>
    <x v="43"/>
    <x v="2"/>
    <d v="2025-06-14T00:00:00"/>
    <x v="6"/>
  </r>
  <r>
    <n v="46"/>
    <s v="INV046"/>
    <s v="KEITH BROWN"/>
    <x v="0"/>
    <x v="0"/>
    <x v="6"/>
    <x v="6"/>
    <n v="828"/>
    <x v="44"/>
    <x v="0"/>
    <d v="2025-06-24T00:00:00"/>
    <x v="3"/>
  </r>
  <r>
    <n v="47"/>
    <s v="INV047"/>
    <s v="LISA WATSON"/>
    <x v="1"/>
    <x v="3"/>
    <x v="16"/>
    <x v="0"/>
    <n v="73"/>
    <x v="45"/>
    <x v="0"/>
    <d v="2025-06-29T00:00:00"/>
    <x v="0"/>
  </r>
  <r>
    <n v="48"/>
    <s v="INV048"/>
    <s v="SARAH NORRIS"/>
    <x v="0"/>
    <x v="3"/>
    <x v="5"/>
    <x v="2"/>
    <n v="772"/>
    <x v="46"/>
    <x v="3"/>
    <d v="2025-06-27T00:00:00"/>
    <x v="0"/>
  </r>
  <r>
    <n v="49"/>
    <s v="INV049"/>
    <s v="NICHOLAS WILSON"/>
    <x v="1"/>
    <x v="1"/>
    <x v="12"/>
    <x v="9"/>
    <n v="980"/>
    <x v="47"/>
    <x v="3"/>
    <d v="2025-06-18T00:00:00"/>
    <x v="6"/>
  </r>
  <r>
    <n v="50"/>
    <s v="INV050"/>
    <s v="CHARLES HOPKINS"/>
    <x v="1"/>
    <x v="2"/>
    <x v="17"/>
    <x v="1"/>
    <n v="529"/>
    <x v="48"/>
    <x v="3"/>
    <d v="2025-06-29T00:00:00"/>
    <x v="4"/>
  </r>
  <r>
    <n v="51"/>
    <s v="INV051"/>
    <s v="ANDREW LITTLE"/>
    <x v="0"/>
    <x v="1"/>
    <x v="15"/>
    <x v="1"/>
    <n v="746"/>
    <x v="49"/>
    <x v="1"/>
    <d v="2025-06-03T00:00:00"/>
    <x v="0"/>
  </r>
  <r>
    <n v="52"/>
    <s v="INV052"/>
    <s v="MITCHELL CAMPBELL"/>
    <x v="1"/>
    <x v="2"/>
    <x v="2"/>
    <x v="1"/>
    <n v="173"/>
    <x v="50"/>
    <x v="0"/>
    <d v="2025-06-06T00:00:00"/>
    <x v="3"/>
  </r>
  <r>
    <n v="53"/>
    <s v="INV053"/>
    <s v="MATTHEW SMITH"/>
    <x v="0"/>
    <x v="2"/>
    <x v="3"/>
    <x v="3"/>
    <n v="710"/>
    <x v="51"/>
    <x v="1"/>
    <d v="2025-06-14T00:00:00"/>
    <x v="3"/>
  </r>
  <r>
    <n v="54"/>
    <s v="INV054"/>
    <s v="TAMARA GREEN"/>
    <x v="0"/>
    <x v="2"/>
    <x v="8"/>
    <x v="1"/>
    <n v="295"/>
    <x v="32"/>
    <x v="1"/>
    <d v="2025-06-06T00:00:00"/>
    <x v="0"/>
  </r>
  <r>
    <n v="55"/>
    <s v="INV055"/>
    <s v="MADISON WARD"/>
    <x v="1"/>
    <x v="1"/>
    <x v="10"/>
    <x v="6"/>
    <n v="227"/>
    <x v="52"/>
    <x v="2"/>
    <d v="2025-06-10T00:00:00"/>
    <x v="3"/>
  </r>
  <r>
    <n v="56"/>
    <s v="INV056"/>
    <s v="DONNA HERRERA"/>
    <x v="0"/>
    <x v="1"/>
    <x v="12"/>
    <x v="8"/>
    <n v="777"/>
    <x v="53"/>
    <x v="3"/>
    <d v="2025-06-24T00:00:00"/>
    <x v="5"/>
  </r>
  <r>
    <n v="57"/>
    <s v="INV057"/>
    <s v="LISA FOSTER"/>
    <x v="1"/>
    <x v="0"/>
    <x v="11"/>
    <x v="4"/>
    <n v="400"/>
    <x v="54"/>
    <x v="2"/>
    <d v="2025-06-03T00:00:00"/>
    <x v="4"/>
  </r>
  <r>
    <n v="58"/>
    <s v="INV058"/>
    <s v="JEFFREY JOHNSON"/>
    <x v="1"/>
    <x v="0"/>
    <x v="6"/>
    <x v="1"/>
    <n v="364"/>
    <x v="55"/>
    <x v="2"/>
    <d v="2025-06-20T00:00:00"/>
    <x v="1"/>
  </r>
  <r>
    <n v="59"/>
    <s v="INV059"/>
    <s v="STEVEN BOYD"/>
    <x v="1"/>
    <x v="2"/>
    <x v="8"/>
    <x v="6"/>
    <n v="825"/>
    <x v="56"/>
    <x v="0"/>
    <d v="2025-06-28T00:00:00"/>
    <x v="4"/>
  </r>
  <r>
    <n v="60"/>
    <s v="INV060"/>
    <s v="MICHAEL LAWRENCE"/>
    <x v="1"/>
    <x v="0"/>
    <x v="11"/>
    <x v="3"/>
    <n v="841"/>
    <x v="57"/>
    <x v="3"/>
    <d v="2025-06-08T00:00:00"/>
    <x v="1"/>
  </r>
  <r>
    <n v="61"/>
    <s v="INV061"/>
    <s v="MICHAEL VILLA"/>
    <x v="0"/>
    <x v="1"/>
    <x v="10"/>
    <x v="4"/>
    <n v="54"/>
    <x v="58"/>
    <x v="2"/>
    <d v="2025-06-12T00:00:00"/>
    <x v="0"/>
  </r>
  <r>
    <n v="62"/>
    <s v="INV062"/>
    <s v="JOSEPH JOHNSON"/>
    <x v="1"/>
    <x v="3"/>
    <x v="18"/>
    <x v="5"/>
    <n v="431"/>
    <x v="59"/>
    <x v="1"/>
    <d v="2025-06-25T00:00:00"/>
    <x v="0"/>
  </r>
  <r>
    <n v="63"/>
    <s v="INV063"/>
    <s v="MICHAEL SHARP"/>
    <x v="0"/>
    <x v="0"/>
    <x v="11"/>
    <x v="6"/>
    <n v="9450"/>
    <x v="60"/>
    <x v="1"/>
    <d v="2025-06-22T00:00:00"/>
    <x v="1"/>
  </r>
  <r>
    <n v="64"/>
    <s v="INV064"/>
    <s v="KATRINA ANDREWS"/>
    <x v="1"/>
    <x v="3"/>
    <x v="19"/>
    <x v="1"/>
    <n v="761"/>
    <x v="61"/>
    <x v="0"/>
    <d v="2025-06-15T00:00:00"/>
    <x v="6"/>
  </r>
  <r>
    <n v="65"/>
    <s v="INV065"/>
    <s v="BETH RUIZ"/>
    <x v="0"/>
    <x v="0"/>
    <x v="0"/>
    <x v="1"/>
    <n v="280"/>
    <x v="62"/>
    <x v="2"/>
    <d v="2025-06-05T00:00:00"/>
    <x v="5"/>
  </r>
  <r>
    <n v="66"/>
    <s v="INV066"/>
    <s v="ALEXIS PENA"/>
    <x v="0"/>
    <x v="2"/>
    <x v="8"/>
    <x v="8"/>
    <n v="528"/>
    <x v="63"/>
    <x v="1"/>
    <d v="2025-06-29T00:00:00"/>
    <x v="1"/>
  </r>
  <r>
    <n v="67"/>
    <s v="INV067"/>
    <s v="KEITH CHANG"/>
    <x v="1"/>
    <x v="2"/>
    <x v="8"/>
    <x v="8"/>
    <n v="212"/>
    <x v="64"/>
    <x v="2"/>
    <d v="2025-06-09T00:00:00"/>
    <x v="0"/>
  </r>
  <r>
    <n v="68"/>
    <s v="INV068"/>
    <s v="KAITLYN FIGUEROA"/>
    <x v="0"/>
    <x v="1"/>
    <x v="12"/>
    <x v="9"/>
    <n v="713"/>
    <x v="65"/>
    <x v="3"/>
    <d v="2025-06-15T00:00:00"/>
    <x v="1"/>
  </r>
  <r>
    <n v="69"/>
    <s v="INV069"/>
    <s v="SCOTT WEST"/>
    <x v="1"/>
    <x v="2"/>
    <x v="2"/>
    <x v="2"/>
    <n v="461"/>
    <x v="66"/>
    <x v="3"/>
    <d v="2025-06-04T00:00:00"/>
    <x v="5"/>
  </r>
  <r>
    <n v="70"/>
    <s v="INV070"/>
    <s v="RACHAEL SHEPHERD"/>
    <x v="0"/>
    <x v="0"/>
    <x v="14"/>
    <x v="7"/>
    <n v="472"/>
    <x v="67"/>
    <x v="3"/>
    <d v="2025-06-15T00:00:00"/>
    <x v="1"/>
  </r>
  <r>
    <n v="71"/>
    <s v="INV071"/>
    <s v="JENNIFER FLOYD"/>
    <x v="0"/>
    <x v="2"/>
    <x v="2"/>
    <x v="4"/>
    <n v="599"/>
    <x v="68"/>
    <x v="2"/>
    <d v="2025-06-23T00:00:00"/>
    <x v="5"/>
  </r>
  <r>
    <n v="72"/>
    <s v="INV072"/>
    <s v="PHILIP HARMON"/>
    <x v="1"/>
    <x v="0"/>
    <x v="13"/>
    <x v="9"/>
    <n v="927"/>
    <x v="69"/>
    <x v="3"/>
    <d v="2025-06-04T00:00:00"/>
    <x v="5"/>
  </r>
  <r>
    <n v="73"/>
    <s v="INV073"/>
    <s v="GARY WATSON"/>
    <x v="0"/>
    <x v="2"/>
    <x v="2"/>
    <x v="4"/>
    <n v="717"/>
    <x v="70"/>
    <x v="3"/>
    <d v="2025-06-16T00:00:00"/>
    <x v="4"/>
  </r>
  <r>
    <n v="74"/>
    <s v="INV074"/>
    <s v="BETH LOPEZ"/>
    <x v="1"/>
    <x v="2"/>
    <x v="9"/>
    <x v="5"/>
    <n v="106"/>
    <x v="71"/>
    <x v="0"/>
    <d v="2025-06-09T00:00:00"/>
    <x v="1"/>
  </r>
  <r>
    <n v="75"/>
    <s v="INV075"/>
    <s v="MIGUEL CHRISTIAN"/>
    <x v="0"/>
    <x v="3"/>
    <x v="5"/>
    <x v="0"/>
    <n v="252"/>
    <x v="72"/>
    <x v="0"/>
    <d v="2025-06-20T00:00:00"/>
    <x v="5"/>
  </r>
  <r>
    <n v="76"/>
    <s v="INV076"/>
    <s v="DAVID WHITE"/>
    <x v="0"/>
    <x v="1"/>
    <x v="12"/>
    <x v="0"/>
    <n v="735"/>
    <x v="73"/>
    <x v="3"/>
    <d v="2025-07-01T00:00:00"/>
    <x v="6"/>
  </r>
  <r>
    <n v="77"/>
    <s v="INV077"/>
    <s v="CRYSTAL HORTON"/>
    <x v="0"/>
    <x v="0"/>
    <x v="13"/>
    <x v="6"/>
    <n v="829"/>
    <x v="74"/>
    <x v="1"/>
    <d v="2025-06-15T00:00:00"/>
    <x v="6"/>
  </r>
  <r>
    <n v="78"/>
    <s v="INV078"/>
    <s v="MELISSA CLARKE DVM"/>
    <x v="1"/>
    <x v="3"/>
    <x v="7"/>
    <x v="5"/>
    <n v="187"/>
    <x v="75"/>
    <x v="0"/>
    <d v="2025-06-03T00:00:00"/>
    <x v="5"/>
  </r>
  <r>
    <n v="79"/>
    <s v="INV079"/>
    <s v="JOHN EVANS"/>
    <x v="1"/>
    <x v="1"/>
    <x v="10"/>
    <x v="5"/>
    <n v="249"/>
    <x v="76"/>
    <x v="1"/>
    <d v="2025-06-15T00:00:00"/>
    <x v="6"/>
  </r>
  <r>
    <n v="80"/>
    <s v="INV080"/>
    <s v="LISA JIMENEZ"/>
    <x v="1"/>
    <x v="1"/>
    <x v="4"/>
    <x v="7"/>
    <n v="59"/>
    <x v="77"/>
    <x v="2"/>
    <d v="2025-06-09T00:00:00"/>
    <x v="0"/>
  </r>
  <r>
    <n v="81"/>
    <s v="INV081"/>
    <s v="KIMBERLY WILSON"/>
    <x v="0"/>
    <x v="2"/>
    <x v="3"/>
    <x v="4"/>
    <n v="122"/>
    <x v="78"/>
    <x v="0"/>
    <d v="2025-06-24T00:00:00"/>
    <x v="1"/>
  </r>
  <r>
    <n v="82"/>
    <s v="INV082"/>
    <s v="JENNIFER THOMAS"/>
    <x v="0"/>
    <x v="3"/>
    <x v="18"/>
    <x v="9"/>
    <n v="679"/>
    <x v="79"/>
    <x v="3"/>
    <d v="2025-06-21T00:00:00"/>
    <x v="6"/>
  </r>
  <r>
    <n v="83"/>
    <s v="INV083"/>
    <s v="JAMES MOLINA"/>
    <x v="0"/>
    <x v="3"/>
    <x v="5"/>
    <x v="5"/>
    <n v="253"/>
    <x v="80"/>
    <x v="0"/>
    <d v="2025-06-15T00:00:00"/>
    <x v="4"/>
  </r>
  <r>
    <n v="84"/>
    <s v="INV084"/>
    <s v="STEPHEN BRADLEY"/>
    <x v="1"/>
    <x v="2"/>
    <x v="8"/>
    <x v="3"/>
    <n v="471"/>
    <x v="81"/>
    <x v="0"/>
    <d v="2025-06-29T00:00:00"/>
    <x v="0"/>
  </r>
  <r>
    <n v="85"/>
    <s v="INV085"/>
    <s v="SEAN SCHROEDER"/>
    <x v="0"/>
    <x v="2"/>
    <x v="9"/>
    <x v="1"/>
    <n v="478"/>
    <x v="82"/>
    <x v="1"/>
    <d v="2025-07-02T00:00:00"/>
    <x v="0"/>
  </r>
  <r>
    <n v="86"/>
    <s v="INV086"/>
    <s v="PATRICK SPENCE"/>
    <x v="0"/>
    <x v="1"/>
    <x v="15"/>
    <x v="8"/>
    <n v="516"/>
    <x v="83"/>
    <x v="0"/>
    <d v="2025-06-12T00:00:00"/>
    <x v="5"/>
  </r>
  <r>
    <n v="87"/>
    <s v="INV087"/>
    <s v="JEFFERY CAMPBELL"/>
    <x v="1"/>
    <x v="1"/>
    <x v="12"/>
    <x v="5"/>
    <n v="174"/>
    <x v="84"/>
    <x v="2"/>
    <d v="2025-06-16T00:00:00"/>
    <x v="1"/>
  </r>
  <r>
    <n v="88"/>
    <s v="INV088"/>
    <s v="KEVIN SANDOVAL"/>
    <x v="1"/>
    <x v="1"/>
    <x v="12"/>
    <x v="3"/>
    <n v="392"/>
    <x v="85"/>
    <x v="1"/>
    <d v="2025-06-03T00:00:00"/>
    <x v="3"/>
  </r>
  <r>
    <n v="89"/>
    <s v="INV089"/>
    <s v="WENDY MAYER"/>
    <x v="0"/>
    <x v="0"/>
    <x v="6"/>
    <x v="2"/>
    <n v="423"/>
    <x v="86"/>
    <x v="2"/>
    <d v="2025-06-16T00:00:00"/>
    <x v="0"/>
  </r>
  <r>
    <n v="90"/>
    <s v="INV090"/>
    <s v="JOE SIMPSON"/>
    <x v="0"/>
    <x v="2"/>
    <x v="9"/>
    <x v="6"/>
    <n v="843"/>
    <x v="87"/>
    <x v="1"/>
    <d v="2025-06-18T00:00:00"/>
    <x v="1"/>
  </r>
  <r>
    <n v="91"/>
    <s v="INV091"/>
    <s v="SANDRA FREDERICK"/>
    <x v="1"/>
    <x v="3"/>
    <x v="16"/>
    <x v="8"/>
    <n v="433"/>
    <x v="88"/>
    <x v="2"/>
    <d v="2025-06-09T00:00:00"/>
    <x v="3"/>
  </r>
  <r>
    <n v="92"/>
    <s v="INV092"/>
    <s v="JENNIFER TAYLOR"/>
    <x v="1"/>
    <x v="2"/>
    <x v="17"/>
    <x v="8"/>
    <n v="157"/>
    <x v="89"/>
    <x v="2"/>
    <d v="2025-07-10T00:00:00"/>
    <x v="5"/>
  </r>
  <r>
    <n v="93"/>
    <s v="INV093"/>
    <s v="KENNETH CHAVEZ"/>
    <x v="0"/>
    <x v="3"/>
    <x v="19"/>
    <x v="6"/>
    <n v="910"/>
    <x v="90"/>
    <x v="3"/>
    <d v="2025-06-27T00:00:00"/>
    <x v="5"/>
  </r>
  <r>
    <n v="94"/>
    <s v="INV094"/>
    <s v="BRIAN MOORE"/>
    <x v="1"/>
    <x v="3"/>
    <x v="7"/>
    <x v="0"/>
    <n v="958"/>
    <x v="91"/>
    <x v="1"/>
    <d v="2025-06-16T00:00:00"/>
    <x v="3"/>
  </r>
  <r>
    <n v="95"/>
    <s v="INV095"/>
    <s v="JUSTIN STEVENSON"/>
    <x v="0"/>
    <x v="3"/>
    <x v="19"/>
    <x v="2"/>
    <n v="975"/>
    <x v="92"/>
    <x v="1"/>
    <d v="2025-06-28T00:00:00"/>
    <x v="0"/>
  </r>
  <r>
    <n v="96"/>
    <s v="INV096"/>
    <s v="BRIAN ORR"/>
    <x v="1"/>
    <x v="3"/>
    <x v="7"/>
    <x v="7"/>
    <n v="988"/>
    <x v="93"/>
    <x v="2"/>
    <d v="2025-06-11T00:00:00"/>
    <x v="0"/>
  </r>
  <r>
    <n v="97"/>
    <s v="INV097"/>
    <s v="ERIKA LOWERY"/>
    <x v="0"/>
    <x v="1"/>
    <x v="1"/>
    <x v="1"/>
    <n v="850"/>
    <x v="94"/>
    <x v="3"/>
    <d v="2025-07-02T00:00:00"/>
    <x v="4"/>
  </r>
  <r>
    <n v="98"/>
    <s v="INV098"/>
    <s v="GREGORY BROWN"/>
    <x v="1"/>
    <x v="2"/>
    <x v="3"/>
    <x v="4"/>
    <n v="739"/>
    <x v="95"/>
    <x v="2"/>
    <d v="2025-06-03T00:00:00"/>
    <x v="4"/>
  </r>
  <r>
    <n v="99"/>
    <s v="INV099"/>
    <s v="KATHLEEN SMITH"/>
    <x v="1"/>
    <x v="1"/>
    <x v="10"/>
    <x v="3"/>
    <n v="241"/>
    <x v="96"/>
    <x v="0"/>
    <d v="2025-06-20T00:00:00"/>
    <x v="6"/>
  </r>
  <r>
    <n v="100"/>
    <s v="INV100"/>
    <s v="MELANIE MARTIN"/>
    <x v="0"/>
    <x v="1"/>
    <x v="10"/>
    <x v="6"/>
    <n v="727"/>
    <x v="97"/>
    <x v="2"/>
    <d v="2025-06-09T00:00:00"/>
    <x v="6"/>
  </r>
  <r>
    <n v="101"/>
    <s v="INV101"/>
    <s v="CHASE HALL"/>
    <x v="1"/>
    <x v="1"/>
    <x v="15"/>
    <x v="9"/>
    <n v="826"/>
    <x v="98"/>
    <x v="3"/>
    <d v="2025-06-22T00:00:00"/>
    <x v="4"/>
  </r>
  <r>
    <n v="102"/>
    <s v="INV102"/>
    <s v="ERIK NGUYEN"/>
    <x v="1"/>
    <x v="2"/>
    <x v="2"/>
    <x v="9"/>
    <n v="53"/>
    <x v="99"/>
    <x v="3"/>
    <d v="2025-07-02T00:00:00"/>
    <x v="1"/>
  </r>
  <r>
    <n v="103"/>
    <s v="INV103"/>
    <s v="FELICIA DUNCAN"/>
    <x v="0"/>
    <x v="0"/>
    <x v="0"/>
    <x v="6"/>
    <n v="272"/>
    <x v="100"/>
    <x v="3"/>
    <d v="2025-06-03T00:00:00"/>
    <x v="0"/>
  </r>
  <r>
    <n v="104"/>
    <s v="INV104"/>
    <s v="JENNIFER FLORES"/>
    <x v="1"/>
    <x v="3"/>
    <x v="18"/>
    <x v="7"/>
    <n v="814"/>
    <x v="101"/>
    <x v="2"/>
    <d v="2025-06-12T00:00:00"/>
    <x v="1"/>
  </r>
  <r>
    <n v="105"/>
    <s v="INV105"/>
    <s v="ROBERT OWENS"/>
    <x v="0"/>
    <x v="1"/>
    <x v="10"/>
    <x v="7"/>
    <n v="685"/>
    <x v="102"/>
    <x v="1"/>
    <d v="2025-06-25T00:00:00"/>
    <x v="3"/>
  </r>
  <r>
    <n v="106"/>
    <s v="INV106"/>
    <s v="LINDA ADAMS"/>
    <x v="1"/>
    <x v="1"/>
    <x v="1"/>
    <x v="5"/>
    <n v="546"/>
    <x v="103"/>
    <x v="0"/>
    <d v="2025-06-23T00:00:00"/>
    <x v="1"/>
  </r>
  <r>
    <n v="107"/>
    <s v="INV107"/>
    <s v="MARY JOHNSON"/>
    <x v="1"/>
    <x v="1"/>
    <x v="4"/>
    <x v="0"/>
    <n v="721"/>
    <x v="104"/>
    <x v="1"/>
    <d v="2025-06-05T00:00:00"/>
    <x v="4"/>
  </r>
  <r>
    <n v="108"/>
    <s v="INV108"/>
    <s v="MICHAEL LEACH"/>
    <x v="0"/>
    <x v="1"/>
    <x v="1"/>
    <x v="1"/>
    <n v="812"/>
    <x v="105"/>
    <x v="2"/>
    <d v="2025-07-01T00:00:00"/>
    <x v="0"/>
  </r>
  <r>
    <n v="109"/>
    <s v="INV109"/>
    <s v="MATTHEW TYLER"/>
    <x v="1"/>
    <x v="2"/>
    <x v="2"/>
    <x v="7"/>
    <n v="335"/>
    <x v="106"/>
    <x v="0"/>
    <d v="2025-07-01T00:00:00"/>
    <x v="5"/>
  </r>
  <r>
    <n v="110"/>
    <s v="INV110"/>
    <s v="JONATHAN PETERSON"/>
    <x v="0"/>
    <x v="0"/>
    <x v="11"/>
    <x v="3"/>
    <n v="756"/>
    <x v="107"/>
    <x v="3"/>
    <d v="2025-06-19T00:00:00"/>
    <x v="6"/>
  </r>
  <r>
    <n v="111"/>
    <s v="INV111"/>
    <s v="LINDSAY MARTINEZ"/>
    <x v="0"/>
    <x v="3"/>
    <x v="7"/>
    <x v="7"/>
    <n v="693"/>
    <x v="108"/>
    <x v="3"/>
    <d v="2025-06-08T00:00:00"/>
    <x v="6"/>
  </r>
  <r>
    <n v="112"/>
    <s v="INV112"/>
    <s v="DANIEL ANDERSON"/>
    <x v="1"/>
    <x v="1"/>
    <x v="12"/>
    <x v="2"/>
    <n v="981"/>
    <x v="109"/>
    <x v="0"/>
    <d v="2025-06-04T00:00:00"/>
    <x v="1"/>
  </r>
  <r>
    <n v="113"/>
    <s v="INV113"/>
    <s v="MEGAN VAUGHN"/>
    <x v="1"/>
    <x v="0"/>
    <x v="6"/>
    <x v="10"/>
    <n v="718"/>
    <x v="110"/>
    <x v="2"/>
    <d v="2025-06-03T00:00:00"/>
    <x v="5"/>
  </r>
  <r>
    <n v="114"/>
    <s v="INV114"/>
    <s v="LINDA RODRIGUEZ"/>
    <x v="1"/>
    <x v="3"/>
    <x v="18"/>
    <x v="4"/>
    <n v="946"/>
    <x v="111"/>
    <x v="0"/>
    <d v="2025-06-11T00:00:00"/>
    <x v="0"/>
  </r>
  <r>
    <n v="115"/>
    <s v="INV115"/>
    <s v="AMY LEWIS"/>
    <x v="0"/>
    <x v="3"/>
    <x v="18"/>
    <x v="7"/>
    <n v="681"/>
    <x v="112"/>
    <x v="1"/>
    <d v="2025-06-24T00:00:00"/>
    <x v="0"/>
  </r>
  <r>
    <n v="116"/>
    <s v="INV116"/>
    <s v="PHILLIP WALKER"/>
    <x v="1"/>
    <x v="3"/>
    <x v="19"/>
    <x v="1"/>
    <n v="278"/>
    <x v="113"/>
    <x v="1"/>
    <d v="2025-06-15T00:00:00"/>
    <x v="1"/>
  </r>
  <r>
    <n v="117"/>
    <s v="INV117"/>
    <s v="MELISSA MILLER"/>
    <x v="0"/>
    <x v="0"/>
    <x v="6"/>
    <x v="8"/>
    <n v="931"/>
    <x v="114"/>
    <x v="1"/>
    <d v="2025-06-06T00:00:00"/>
    <x v="1"/>
  </r>
  <r>
    <n v="118"/>
    <s v="INV118"/>
    <s v="SARA MILLER"/>
    <x v="0"/>
    <x v="2"/>
    <x v="2"/>
    <x v="2"/>
    <n v="957"/>
    <x v="115"/>
    <x v="2"/>
    <d v="2025-06-03T00:00:00"/>
    <x v="6"/>
  </r>
  <r>
    <n v="119"/>
    <s v="INV119"/>
    <s v="LORI GARNER"/>
    <x v="1"/>
    <x v="2"/>
    <x v="3"/>
    <x v="3"/>
    <n v="905"/>
    <x v="116"/>
    <x v="3"/>
    <d v="2025-07-02T00:00:00"/>
    <x v="1"/>
  </r>
  <r>
    <n v="120"/>
    <s v="INV120"/>
    <s v="TYRONE SOTO"/>
    <x v="0"/>
    <x v="1"/>
    <x v="12"/>
    <x v="5"/>
    <n v="660"/>
    <x v="117"/>
    <x v="3"/>
    <d v="2025-06-25T00:00:00"/>
    <x v="6"/>
  </r>
  <r>
    <n v="121"/>
    <s v="INV121"/>
    <s v="KAREN HANSEN"/>
    <x v="0"/>
    <x v="0"/>
    <x v="6"/>
    <x v="8"/>
    <n v="986"/>
    <x v="118"/>
    <x v="0"/>
    <d v="2025-06-18T00:00:00"/>
    <x v="5"/>
  </r>
  <r>
    <n v="122"/>
    <s v="INV122"/>
    <s v="STEVEN PARKER"/>
    <x v="1"/>
    <x v="1"/>
    <x v="1"/>
    <x v="0"/>
    <n v="435"/>
    <x v="119"/>
    <x v="3"/>
    <d v="2025-06-04T00:00:00"/>
    <x v="3"/>
  </r>
  <r>
    <n v="123"/>
    <s v="INV123"/>
    <s v="STACY FISCHER"/>
    <x v="0"/>
    <x v="0"/>
    <x v="13"/>
    <x v="9"/>
    <n v="252"/>
    <x v="120"/>
    <x v="0"/>
    <d v="2025-06-21T00:00:00"/>
    <x v="4"/>
  </r>
  <r>
    <n v="124"/>
    <s v="INV124"/>
    <s v="AMANDA WALLER"/>
    <x v="1"/>
    <x v="0"/>
    <x v="14"/>
    <x v="1"/>
    <n v="136"/>
    <x v="121"/>
    <x v="1"/>
    <d v="2025-06-17T00:00:00"/>
    <x v="1"/>
  </r>
  <r>
    <n v="125"/>
    <s v="INV125"/>
    <s v="TERRENCE KIDD"/>
    <x v="1"/>
    <x v="3"/>
    <x v="19"/>
    <x v="0"/>
    <n v="716"/>
    <x v="122"/>
    <x v="0"/>
    <d v="2025-06-21T00:00:00"/>
    <x v="6"/>
  </r>
  <r>
    <n v="126"/>
    <s v="INV126"/>
    <s v="KYLIE BENNETT"/>
    <x v="1"/>
    <x v="1"/>
    <x v="10"/>
    <x v="3"/>
    <n v="846"/>
    <x v="123"/>
    <x v="1"/>
    <d v="2025-06-13T00:00:00"/>
    <x v="0"/>
  </r>
  <r>
    <n v="127"/>
    <s v="INV127"/>
    <s v="TROY GIBSON"/>
    <x v="0"/>
    <x v="2"/>
    <x v="8"/>
    <x v="3"/>
    <n v="848"/>
    <x v="124"/>
    <x v="0"/>
    <d v="2025-06-05T00:00:00"/>
    <x v="6"/>
  </r>
  <r>
    <n v="128"/>
    <s v="INV128"/>
    <s v="PENNY HERNANDEZ"/>
    <x v="0"/>
    <x v="2"/>
    <x v="3"/>
    <x v="9"/>
    <n v="578"/>
    <x v="125"/>
    <x v="1"/>
    <d v="2025-06-20T00:00:00"/>
    <x v="5"/>
  </r>
  <r>
    <n v="129"/>
    <s v="INV129"/>
    <s v="KENNETH MORTON"/>
    <x v="1"/>
    <x v="1"/>
    <x v="1"/>
    <x v="7"/>
    <n v="657"/>
    <x v="126"/>
    <x v="1"/>
    <d v="2025-06-18T00:00:00"/>
    <x v="1"/>
  </r>
  <r>
    <n v="130"/>
    <s v="INV130"/>
    <s v="KATHERINE CURRY"/>
    <x v="0"/>
    <x v="0"/>
    <x v="13"/>
    <x v="6"/>
    <n v="943"/>
    <x v="127"/>
    <x v="0"/>
    <d v="2025-06-26T00:00:00"/>
    <x v="3"/>
  </r>
  <r>
    <n v="131"/>
    <s v="INV131"/>
    <s v="HEATHER SHAW"/>
    <x v="0"/>
    <x v="3"/>
    <x v="16"/>
    <x v="0"/>
    <n v="845"/>
    <x v="128"/>
    <x v="3"/>
    <d v="2025-06-15T00:00:00"/>
    <x v="6"/>
  </r>
  <r>
    <n v="132"/>
    <s v="INV132"/>
    <s v="SETH ANDERSON"/>
    <x v="0"/>
    <x v="2"/>
    <x v="2"/>
    <x v="2"/>
    <n v="622"/>
    <x v="129"/>
    <x v="1"/>
    <d v="2025-06-10T00:00:00"/>
    <x v="6"/>
  </r>
  <r>
    <n v="133"/>
    <s v="INV133"/>
    <s v="BETH TYLER"/>
    <x v="0"/>
    <x v="3"/>
    <x v="18"/>
    <x v="2"/>
    <n v="210"/>
    <x v="130"/>
    <x v="0"/>
    <d v="2025-06-24T00:00:00"/>
    <x v="6"/>
  </r>
  <r>
    <n v="134"/>
    <s v="INV134"/>
    <s v="DONALD INGRAM"/>
    <x v="1"/>
    <x v="2"/>
    <x v="8"/>
    <x v="0"/>
    <n v="908"/>
    <x v="131"/>
    <x v="2"/>
    <d v="2025-06-10T00:00:00"/>
    <x v="4"/>
  </r>
  <r>
    <n v="135"/>
    <s v="INV135"/>
    <s v="RANDY HUDSON"/>
    <x v="1"/>
    <x v="2"/>
    <x v="9"/>
    <x v="5"/>
    <n v="128"/>
    <x v="132"/>
    <x v="2"/>
    <d v="2025-06-09T00:00:00"/>
    <x v="1"/>
  </r>
  <r>
    <n v="136"/>
    <s v="INV136"/>
    <s v="LAURA FLORES"/>
    <x v="0"/>
    <x v="3"/>
    <x v="7"/>
    <x v="2"/>
    <n v="908"/>
    <x v="133"/>
    <x v="1"/>
    <d v="2025-06-23T00:00:00"/>
    <x v="4"/>
  </r>
  <r>
    <n v="137"/>
    <s v="INV137"/>
    <s v="MARTIN YOUNG"/>
    <x v="0"/>
    <x v="1"/>
    <x v="12"/>
    <x v="8"/>
    <n v="663"/>
    <x v="134"/>
    <x v="1"/>
    <d v="2025-06-28T00:00:00"/>
    <x v="6"/>
  </r>
  <r>
    <n v="138"/>
    <s v="INV138"/>
    <s v="JASON MORALES"/>
    <x v="0"/>
    <x v="1"/>
    <x v="15"/>
    <x v="4"/>
    <n v="321"/>
    <x v="135"/>
    <x v="3"/>
    <d v="2025-06-04T00:00:00"/>
    <x v="5"/>
  </r>
  <r>
    <n v="139"/>
    <s v="INV139"/>
    <s v="LAURA LEWIS"/>
    <x v="1"/>
    <x v="0"/>
    <x v="14"/>
    <x v="7"/>
    <n v="372"/>
    <x v="136"/>
    <x v="1"/>
    <d v="2025-06-27T00:00:00"/>
    <x v="5"/>
  </r>
  <r>
    <n v="140"/>
    <s v="INV140"/>
    <s v="RICHARD THOMPSON"/>
    <x v="1"/>
    <x v="2"/>
    <x v="8"/>
    <x v="7"/>
    <n v="656"/>
    <x v="137"/>
    <x v="1"/>
    <d v="2025-06-06T00:00:00"/>
    <x v="0"/>
  </r>
  <r>
    <n v="141"/>
    <s v="INV141"/>
    <s v="TYLER PATTERSON"/>
    <x v="1"/>
    <x v="0"/>
    <x v="13"/>
    <x v="8"/>
    <n v="352"/>
    <x v="138"/>
    <x v="2"/>
    <d v="2025-06-08T00:00:00"/>
    <x v="1"/>
  </r>
  <r>
    <n v="142"/>
    <s v="INV142"/>
    <s v="MR. CHRISTOPHER WILLIAMS MD"/>
    <x v="1"/>
    <x v="0"/>
    <x v="6"/>
    <x v="7"/>
    <n v="678"/>
    <x v="139"/>
    <x v="1"/>
    <d v="2025-06-27T00:00:00"/>
    <x v="5"/>
  </r>
  <r>
    <n v="143"/>
    <s v="INV143"/>
    <s v="KEVIN LARSON"/>
    <x v="1"/>
    <x v="0"/>
    <x v="14"/>
    <x v="5"/>
    <n v="527"/>
    <x v="140"/>
    <x v="2"/>
    <d v="2025-06-08T00:00:00"/>
    <x v="3"/>
  </r>
  <r>
    <n v="144"/>
    <s v="INV144"/>
    <s v="NATHAN SMITH DDS"/>
    <x v="1"/>
    <x v="3"/>
    <x v="7"/>
    <x v="8"/>
    <n v="795"/>
    <x v="141"/>
    <x v="2"/>
    <d v="2025-06-30T00:00:00"/>
    <x v="0"/>
  </r>
  <r>
    <n v="145"/>
    <s v="INV145"/>
    <s v="INV145"/>
    <x v="1"/>
    <x v="2"/>
    <x v="3"/>
    <x v="7"/>
    <n v="644"/>
    <x v="142"/>
    <x v="2"/>
    <d v="2025-06-10T00:00:00"/>
    <x v="4"/>
  </r>
  <r>
    <n v="146"/>
    <s v="INV146"/>
    <s v="DOUGLAS PRICE"/>
    <x v="1"/>
    <x v="0"/>
    <x v="13"/>
    <x v="6"/>
    <n v="863"/>
    <x v="143"/>
    <x v="1"/>
    <d v="2025-06-25T00:00:00"/>
    <x v="5"/>
  </r>
  <r>
    <n v="147"/>
    <s v="INV147"/>
    <s v="LAURA MOLINA"/>
    <x v="1"/>
    <x v="3"/>
    <x v="7"/>
    <x v="0"/>
    <n v="503"/>
    <x v="144"/>
    <x v="1"/>
    <d v="2025-06-29T00:00:00"/>
    <x v="4"/>
  </r>
  <r>
    <n v="148"/>
    <s v="INV148"/>
    <s v="EDWARD PROCTOR"/>
    <x v="1"/>
    <x v="3"/>
    <x v="16"/>
    <x v="5"/>
    <n v="326"/>
    <x v="145"/>
    <x v="1"/>
    <d v="2025-06-08T00:00:00"/>
    <x v="5"/>
  </r>
  <r>
    <n v="149"/>
    <s v="INV149"/>
    <s v="MATTHEW POWERS"/>
    <x v="1"/>
    <x v="1"/>
    <x v="15"/>
    <x v="3"/>
    <n v="987"/>
    <x v="146"/>
    <x v="2"/>
    <d v="2025-06-25T00:00:00"/>
    <x v="6"/>
  </r>
  <r>
    <n v="150"/>
    <s v="INV150"/>
    <s v="SHAWN MALDONADO"/>
    <x v="1"/>
    <x v="0"/>
    <x v="14"/>
    <x v="1"/>
    <n v="494"/>
    <x v="147"/>
    <x v="3"/>
    <d v="2025-07-02T00:00:00"/>
    <x v="0"/>
  </r>
  <r>
    <n v="151"/>
    <s v="INV151"/>
    <s v="ZACHARY HAMILTON"/>
    <x v="0"/>
    <x v="1"/>
    <x v="12"/>
    <x v="6"/>
    <n v="747"/>
    <x v="148"/>
    <x v="1"/>
    <d v="2025-06-17T00:00:00"/>
    <x v="4"/>
  </r>
  <r>
    <n v="152"/>
    <s v="INV152"/>
    <s v="DREW TANNER"/>
    <x v="1"/>
    <x v="1"/>
    <x v="10"/>
    <x v="4"/>
    <n v="740"/>
    <x v="149"/>
    <x v="3"/>
    <d v="2025-06-07T00:00:00"/>
    <x v="1"/>
  </r>
  <r>
    <n v="153"/>
    <s v="INV153"/>
    <s v="DANIELLE GONZALES"/>
    <x v="1"/>
    <x v="0"/>
    <x v="6"/>
    <x v="4"/>
    <n v="361"/>
    <x v="150"/>
    <x v="3"/>
    <d v="2025-06-20T00:00:00"/>
    <x v="1"/>
  </r>
  <r>
    <n v="154"/>
    <s v="INV154"/>
    <s v="BRIANNA DAVIS"/>
    <x v="0"/>
    <x v="0"/>
    <x v="6"/>
    <x v="2"/>
    <n v="128"/>
    <x v="151"/>
    <x v="3"/>
    <d v="2025-06-11T00:00:00"/>
    <x v="1"/>
  </r>
  <r>
    <n v="155"/>
    <s v="INV155"/>
    <s v="TAMMY WHITE"/>
    <x v="0"/>
    <x v="2"/>
    <x v="2"/>
    <x v="9"/>
    <n v="818"/>
    <x v="152"/>
    <x v="2"/>
    <d v="2025-06-25T00:00:00"/>
    <x v="4"/>
  </r>
  <r>
    <n v="156"/>
    <s v="INV156"/>
    <s v="NICOLE LARSON"/>
    <x v="0"/>
    <x v="2"/>
    <x v="8"/>
    <x v="7"/>
    <n v="196"/>
    <x v="153"/>
    <x v="2"/>
    <d v="2025-06-18T00:00:00"/>
    <x v="3"/>
  </r>
  <r>
    <n v="157"/>
    <s v="INV157"/>
    <s v="ARTHUR MORRIS"/>
    <x v="1"/>
    <x v="3"/>
    <x v="18"/>
    <x v="3"/>
    <n v="864"/>
    <x v="154"/>
    <x v="2"/>
    <d v="2025-06-18T00:00:00"/>
    <x v="6"/>
  </r>
  <r>
    <n v="158"/>
    <s v="INV158"/>
    <s v="LINDSAY MASON"/>
    <x v="0"/>
    <x v="0"/>
    <x v="0"/>
    <x v="3"/>
    <n v="599"/>
    <x v="155"/>
    <x v="3"/>
    <d v="2025-06-22T00:00:00"/>
    <x v="1"/>
  </r>
  <r>
    <n v="159"/>
    <s v="INV159"/>
    <s v="STEPHEN WILLIAMS"/>
    <x v="1"/>
    <x v="3"/>
    <x v="5"/>
    <x v="0"/>
    <n v="271"/>
    <x v="156"/>
    <x v="1"/>
    <d v="2025-06-25T00:00:00"/>
    <x v="4"/>
  </r>
  <r>
    <n v="160"/>
    <s v="INV160"/>
    <s v="GARY DILLON"/>
    <x v="0"/>
    <x v="2"/>
    <x v="3"/>
    <x v="8"/>
    <n v="881"/>
    <x v="157"/>
    <x v="3"/>
    <d v="2025-07-01T00:00:00"/>
    <x v="1"/>
  </r>
  <r>
    <n v="161"/>
    <s v="INV161"/>
    <s v="JOSEPH CONTRERAS"/>
    <x v="1"/>
    <x v="0"/>
    <x v="14"/>
    <x v="4"/>
    <n v="886"/>
    <x v="158"/>
    <x v="0"/>
    <d v="2025-06-26T00:00:00"/>
    <x v="6"/>
  </r>
  <r>
    <n v="162"/>
    <s v="INV162"/>
    <s v="BENJAMIN VARGAS"/>
    <x v="1"/>
    <x v="2"/>
    <x v="3"/>
    <x v="7"/>
    <n v="363"/>
    <x v="159"/>
    <x v="3"/>
    <d v="2025-06-06T00:00:00"/>
    <x v="1"/>
  </r>
  <r>
    <n v="163"/>
    <s v="INV163"/>
    <s v="KIMBERLY VASQUEZ"/>
    <x v="0"/>
    <x v="1"/>
    <x v="12"/>
    <x v="3"/>
    <n v="367"/>
    <x v="160"/>
    <x v="1"/>
    <d v="2025-06-06T00:00:00"/>
    <x v="3"/>
  </r>
  <r>
    <n v="164"/>
    <s v="INV164"/>
    <s v="NINA SHAW"/>
    <x v="1"/>
    <x v="2"/>
    <x v="3"/>
    <x v="2"/>
    <n v="463"/>
    <x v="161"/>
    <x v="1"/>
    <d v="2025-06-29T00:00:00"/>
    <x v="3"/>
  </r>
  <r>
    <n v="165"/>
    <s v="INV165"/>
    <s v="JUAN HARVEY"/>
    <x v="0"/>
    <x v="1"/>
    <x v="10"/>
    <x v="4"/>
    <n v="564"/>
    <x v="162"/>
    <x v="2"/>
    <d v="2025-07-02T00:00:00"/>
    <x v="5"/>
  </r>
  <r>
    <n v="166"/>
    <s v="INV166"/>
    <s v="RAYMOND GRAY"/>
    <x v="1"/>
    <x v="0"/>
    <x v="14"/>
    <x v="5"/>
    <n v="658"/>
    <x v="163"/>
    <x v="2"/>
    <d v="2025-06-30T00:00:00"/>
    <x v="6"/>
  </r>
  <r>
    <n v="167"/>
    <s v="INV167"/>
    <s v="MATTHEW DAVIS"/>
    <x v="0"/>
    <x v="0"/>
    <x v="0"/>
    <x v="7"/>
    <n v="861"/>
    <x v="164"/>
    <x v="0"/>
    <d v="2025-06-21T00:00:00"/>
    <x v="3"/>
  </r>
  <r>
    <n v="168"/>
    <s v="INV168"/>
    <s v="MICHELLE LONG"/>
    <x v="0"/>
    <x v="0"/>
    <x v="0"/>
    <x v="6"/>
    <n v="376"/>
    <x v="165"/>
    <x v="0"/>
    <d v="2025-06-18T00:00:00"/>
    <x v="4"/>
  </r>
  <r>
    <n v="169"/>
    <s v="INV169"/>
    <s v="HAROLD VARGAS"/>
    <x v="1"/>
    <x v="0"/>
    <x v="13"/>
    <x v="2"/>
    <n v="440"/>
    <x v="166"/>
    <x v="1"/>
    <d v="2025-06-20T00:00:00"/>
    <x v="1"/>
  </r>
  <r>
    <n v="170"/>
    <s v="INV170"/>
    <s v="JOHNNY GARCIA"/>
    <x v="0"/>
    <x v="2"/>
    <x v="8"/>
    <x v="7"/>
    <n v="260"/>
    <x v="167"/>
    <x v="3"/>
    <d v="2025-06-15T00:00:00"/>
    <x v="5"/>
  </r>
  <r>
    <n v="171"/>
    <s v="INV171"/>
    <s v="SAMANTHA MOORE"/>
    <x v="0"/>
    <x v="1"/>
    <x v="10"/>
    <x v="9"/>
    <n v="220"/>
    <x v="168"/>
    <x v="0"/>
    <d v="2025-07-01T00:00:00"/>
    <x v="3"/>
  </r>
  <r>
    <n v="172"/>
    <s v="INV172"/>
    <s v="ERIC WILLIS"/>
    <x v="0"/>
    <x v="2"/>
    <x v="8"/>
    <x v="3"/>
    <n v="994"/>
    <x v="169"/>
    <x v="2"/>
    <d v="2025-06-13T00:00:00"/>
    <x v="5"/>
  </r>
  <r>
    <n v="173"/>
    <s v="INV173"/>
    <s v="LAUREN MURPHY"/>
    <x v="1"/>
    <x v="2"/>
    <x v="17"/>
    <x v="2"/>
    <n v="583"/>
    <x v="170"/>
    <x v="2"/>
    <d v="2025-07-01T00:00:00"/>
    <x v="1"/>
  </r>
  <r>
    <n v="174"/>
    <s v="INV174"/>
    <s v="NICHOLAS RAMIREZ"/>
    <x v="1"/>
    <x v="1"/>
    <x v="12"/>
    <x v="8"/>
    <n v="195"/>
    <x v="171"/>
    <x v="1"/>
    <d v="2025-06-06T00:00:00"/>
    <x v="6"/>
  </r>
  <r>
    <n v="175"/>
    <s v="INV175"/>
    <s v="KAREN GARNER"/>
    <x v="1"/>
    <x v="1"/>
    <x v="1"/>
    <x v="7"/>
    <n v="345"/>
    <x v="172"/>
    <x v="2"/>
    <d v="2025-06-25T00:00:00"/>
    <x v="4"/>
  </r>
  <r>
    <n v="176"/>
    <s v="INV176"/>
    <s v="DAVID BERRY"/>
    <x v="0"/>
    <x v="0"/>
    <x v="0"/>
    <x v="6"/>
    <n v="178"/>
    <x v="173"/>
    <x v="0"/>
    <d v="2025-06-19T00:00:00"/>
    <x v="1"/>
  </r>
  <r>
    <n v="177"/>
    <s v="INV177"/>
    <s v="JOSEPH PERKINS"/>
    <x v="1"/>
    <x v="2"/>
    <x v="9"/>
    <x v="7"/>
    <n v="262"/>
    <x v="174"/>
    <x v="3"/>
    <d v="2025-06-17T00:00:00"/>
    <x v="1"/>
  </r>
  <r>
    <n v="178"/>
    <s v="INV178"/>
    <s v="JERRY JOHNSON"/>
    <x v="0"/>
    <x v="3"/>
    <x v="7"/>
    <x v="8"/>
    <n v="386"/>
    <x v="175"/>
    <x v="0"/>
    <d v="2025-06-23T00:00:00"/>
    <x v="0"/>
  </r>
  <r>
    <n v="179"/>
    <s v="INV179"/>
    <s v="SHARON CONNER"/>
    <x v="0"/>
    <x v="2"/>
    <x v="3"/>
    <x v="1"/>
    <n v="481"/>
    <x v="176"/>
    <x v="2"/>
    <d v="2025-06-22T00:00:00"/>
    <x v="5"/>
  </r>
  <r>
    <n v="180"/>
    <s v="INV180"/>
    <s v="DEBRA LUTZ"/>
    <x v="1"/>
    <x v="0"/>
    <x v="13"/>
    <x v="8"/>
    <n v="367"/>
    <x v="177"/>
    <x v="2"/>
    <d v="2025-06-23T00:00:00"/>
    <x v="6"/>
  </r>
  <r>
    <n v="181"/>
    <s v="INV181"/>
    <s v="EMILY HILL"/>
    <x v="0"/>
    <x v="3"/>
    <x v="18"/>
    <x v="3"/>
    <n v="373"/>
    <x v="178"/>
    <x v="1"/>
    <d v="2025-06-22T00:00:00"/>
    <x v="1"/>
  </r>
  <r>
    <n v="182"/>
    <s v="INV182"/>
    <s v="NANCY CARTER"/>
    <x v="0"/>
    <x v="2"/>
    <x v="2"/>
    <x v="1"/>
    <n v="767"/>
    <x v="179"/>
    <x v="0"/>
    <d v="2025-06-14T00:00:00"/>
    <x v="5"/>
  </r>
  <r>
    <n v="183"/>
    <s v="INV183"/>
    <s v="JAMES CARPENTER"/>
    <x v="1"/>
    <x v="1"/>
    <x v="10"/>
    <x v="5"/>
    <n v="654"/>
    <x v="180"/>
    <x v="0"/>
    <d v="2025-06-10T00:00:00"/>
    <x v="3"/>
  </r>
  <r>
    <n v="184"/>
    <s v="INV184"/>
    <s v="DR. EVELYN REED DDS"/>
    <x v="0"/>
    <x v="1"/>
    <x v="10"/>
    <x v="0"/>
    <n v="161"/>
    <x v="181"/>
    <x v="2"/>
    <d v="2025-06-20T00:00:00"/>
    <x v="3"/>
  </r>
  <r>
    <n v="185"/>
    <s v="INV185"/>
    <s v="WILLIAM FUENTES"/>
    <x v="1"/>
    <x v="0"/>
    <x v="11"/>
    <x v="4"/>
    <n v="399"/>
    <x v="182"/>
    <x v="1"/>
    <d v="2025-06-29T00:00:00"/>
    <x v="6"/>
  </r>
  <r>
    <n v="186"/>
    <s v="INV186"/>
    <s v="JACKIE STEVENS"/>
    <x v="1"/>
    <x v="2"/>
    <x v="9"/>
    <x v="7"/>
    <n v="566"/>
    <x v="183"/>
    <x v="2"/>
    <d v="2025-06-07T00:00:00"/>
    <x v="5"/>
  </r>
  <r>
    <n v="187"/>
    <s v="INV187"/>
    <s v="SAMANTHA KING"/>
    <x v="0"/>
    <x v="2"/>
    <x v="8"/>
    <x v="2"/>
    <n v="694"/>
    <x v="184"/>
    <x v="3"/>
    <d v="2025-06-16T00:00:00"/>
    <x v="5"/>
  </r>
  <r>
    <n v="188"/>
    <s v="INV188"/>
    <s v="EMILY COOK"/>
    <x v="1"/>
    <x v="0"/>
    <x v="14"/>
    <x v="0"/>
    <n v="803"/>
    <x v="185"/>
    <x v="3"/>
    <d v="2025-06-15T00:00:00"/>
    <x v="1"/>
  </r>
  <r>
    <n v="189"/>
    <s v="INV189"/>
    <s v="APRIL FLORES"/>
    <x v="0"/>
    <x v="1"/>
    <x v="12"/>
    <x v="8"/>
    <n v="959"/>
    <x v="186"/>
    <x v="3"/>
    <d v="2025-06-20T00:00:00"/>
    <x v="3"/>
  </r>
  <r>
    <n v="190"/>
    <s v="INV190"/>
    <s v="HEATHER PHILLIPS"/>
    <x v="1"/>
    <x v="2"/>
    <x v="9"/>
    <x v="2"/>
    <n v="467"/>
    <x v="187"/>
    <x v="1"/>
    <d v="2025-06-19T00:00:00"/>
    <x v="0"/>
  </r>
  <r>
    <n v="191"/>
    <s v="INV191"/>
    <s v="SARAH ROBINSON"/>
    <x v="1"/>
    <x v="1"/>
    <x v="1"/>
    <x v="4"/>
    <n v="661"/>
    <x v="188"/>
    <x v="2"/>
    <d v="2025-06-23T00:00:00"/>
    <x v="3"/>
  </r>
  <r>
    <n v="192"/>
    <s v="INV192"/>
    <s v="DAWN LANDRY"/>
    <x v="0"/>
    <x v="0"/>
    <x v="13"/>
    <x v="9"/>
    <n v="58"/>
    <x v="189"/>
    <x v="2"/>
    <d v="2025-06-03T00:00:00"/>
    <x v="3"/>
  </r>
  <r>
    <n v="193"/>
    <s v="INV193"/>
    <s v="MICHELLE DAVIS"/>
    <x v="1"/>
    <x v="2"/>
    <x v="17"/>
    <x v="3"/>
    <n v="336"/>
    <x v="190"/>
    <x v="3"/>
    <d v="2025-06-15T00:00:00"/>
    <x v="3"/>
  </r>
  <r>
    <n v="194"/>
    <s v="INV194"/>
    <s v="BRENT PEREZ"/>
    <x v="1"/>
    <x v="1"/>
    <x v="4"/>
    <x v="6"/>
    <n v="487"/>
    <x v="191"/>
    <x v="3"/>
    <d v="2025-06-30T00:00:00"/>
    <x v="3"/>
  </r>
  <r>
    <n v="195"/>
    <s v="INV195"/>
    <s v="DANIEL WONG"/>
    <x v="1"/>
    <x v="3"/>
    <x v="16"/>
    <x v="9"/>
    <n v="681"/>
    <x v="192"/>
    <x v="1"/>
    <d v="2025-06-03T00:00:00"/>
    <x v="5"/>
  </r>
  <r>
    <n v="196"/>
    <s v="INV196"/>
    <s v="MICHAEL EDWARDS"/>
    <x v="1"/>
    <x v="3"/>
    <x v="5"/>
    <x v="7"/>
    <n v="893"/>
    <x v="193"/>
    <x v="1"/>
    <d v="2025-06-23T00:00:00"/>
    <x v="3"/>
  </r>
  <r>
    <n v="197"/>
    <s v="INV197"/>
    <s v="MORGAN HOGAN"/>
    <x v="0"/>
    <x v="0"/>
    <x v="13"/>
    <x v="4"/>
    <n v="594"/>
    <x v="194"/>
    <x v="2"/>
    <d v="2025-06-14T00:00:00"/>
    <x v="5"/>
  </r>
  <r>
    <n v="198"/>
    <s v="INV198"/>
    <s v="GARY JORDAN"/>
    <x v="0"/>
    <x v="3"/>
    <x v="18"/>
    <x v="6"/>
    <n v="138"/>
    <x v="195"/>
    <x v="0"/>
    <d v="2025-06-12T00:00:00"/>
    <x v="1"/>
  </r>
  <r>
    <n v="199"/>
    <s v="INV199"/>
    <s v="JOSHUA MURPHY"/>
    <x v="1"/>
    <x v="3"/>
    <x v="16"/>
    <x v="9"/>
    <n v="598"/>
    <x v="196"/>
    <x v="0"/>
    <d v="2025-06-22T00:00:00"/>
    <x v="4"/>
  </r>
  <r>
    <n v="200"/>
    <s v="INV200"/>
    <s v="AMY SUAREZ"/>
    <x v="1"/>
    <x v="2"/>
    <x v="17"/>
    <x v="6"/>
    <n v="162"/>
    <x v="197"/>
    <x v="2"/>
    <d v="2025-06-08T00:00:00"/>
    <x v="4"/>
  </r>
  <r>
    <n v="201"/>
    <s v="INV201"/>
    <s v="STEPHANIE JOSEPH"/>
    <x v="0"/>
    <x v="1"/>
    <x v="1"/>
    <x v="4"/>
    <n v="818"/>
    <x v="198"/>
    <x v="2"/>
    <d v="2025-06-08T00:00:00"/>
    <x v="1"/>
  </r>
  <r>
    <n v="202"/>
    <s v="INV202"/>
    <s v="TINA GONZALEZ"/>
    <x v="1"/>
    <x v="2"/>
    <x v="17"/>
    <x v="8"/>
    <n v="273"/>
    <x v="199"/>
    <x v="2"/>
    <d v="2025-07-01T00:00:00"/>
    <x v="6"/>
  </r>
  <r>
    <n v="203"/>
    <s v="INV203"/>
    <s v="TIMOTHY CHANDLER"/>
    <x v="0"/>
    <x v="3"/>
    <x v="18"/>
    <x v="3"/>
    <n v="168"/>
    <x v="7"/>
    <x v="3"/>
    <d v="2025-06-07T00:00:00"/>
    <x v="0"/>
  </r>
  <r>
    <n v="204"/>
    <s v="INV204"/>
    <s v="SARAH CASTILLO"/>
    <x v="1"/>
    <x v="1"/>
    <x v="15"/>
    <x v="8"/>
    <n v="400"/>
    <x v="200"/>
    <x v="3"/>
    <d v="2025-06-22T00:00:00"/>
    <x v="4"/>
  </r>
  <r>
    <n v="205"/>
    <s v="INV205"/>
    <s v="KELSEY SCHAEFER"/>
    <x v="1"/>
    <x v="2"/>
    <x v="3"/>
    <x v="3"/>
    <n v="906"/>
    <x v="201"/>
    <x v="2"/>
    <d v="2025-06-22T00:00:00"/>
    <x v="5"/>
  </r>
  <r>
    <n v="206"/>
    <s v="INV206"/>
    <s v="NICHOLAS BRADY"/>
    <x v="0"/>
    <x v="1"/>
    <x v="15"/>
    <x v="3"/>
    <n v="875"/>
    <x v="202"/>
    <x v="3"/>
    <d v="2025-06-27T00:00:00"/>
    <x v="1"/>
  </r>
  <r>
    <n v="207"/>
    <s v="INV207"/>
    <s v="ERIC LARSON"/>
    <x v="1"/>
    <x v="0"/>
    <x v="13"/>
    <x v="7"/>
    <n v="76"/>
    <x v="203"/>
    <x v="2"/>
    <d v="2025-06-06T00:00:00"/>
    <x v="4"/>
  </r>
  <r>
    <n v="208"/>
    <s v="INV208"/>
    <s v="JONATHAN VARGAS"/>
    <x v="1"/>
    <x v="1"/>
    <x v="10"/>
    <x v="6"/>
    <n v="132"/>
    <x v="204"/>
    <x v="0"/>
    <d v="2025-06-30T00:00:00"/>
    <x v="6"/>
  </r>
  <r>
    <n v="209"/>
    <s v="INV209"/>
    <s v="DONNA KOCH"/>
    <x v="0"/>
    <x v="3"/>
    <x v="7"/>
    <x v="7"/>
    <n v="539"/>
    <x v="205"/>
    <x v="3"/>
    <d v="2025-06-17T00:00:00"/>
    <x v="4"/>
  </r>
  <r>
    <n v="210"/>
    <s v="INV210"/>
    <s v="MARK SANTIAGO"/>
    <x v="0"/>
    <x v="1"/>
    <x v="15"/>
    <x v="3"/>
    <n v="327"/>
    <x v="206"/>
    <x v="0"/>
    <d v="2025-06-29T00:00:00"/>
    <x v="0"/>
  </r>
  <r>
    <n v="211"/>
    <s v="INV211"/>
    <s v="ROBERT DIAZ"/>
    <x v="0"/>
    <x v="0"/>
    <x v="13"/>
    <x v="9"/>
    <n v="222"/>
    <x v="207"/>
    <x v="3"/>
    <d v="2025-06-04T00:00:00"/>
    <x v="5"/>
  </r>
  <r>
    <n v="212"/>
    <s v="INV212"/>
    <s v="JOHN WRIGHT"/>
    <x v="0"/>
    <x v="2"/>
    <x v="8"/>
    <x v="8"/>
    <n v="289"/>
    <x v="208"/>
    <x v="2"/>
    <d v="2025-06-11T00:00:00"/>
    <x v="0"/>
  </r>
  <r>
    <n v="213"/>
    <s v="INV213"/>
    <s v="DAVID BLAIR"/>
    <x v="1"/>
    <x v="0"/>
    <x v="14"/>
    <x v="5"/>
    <n v="624"/>
    <x v="209"/>
    <x v="0"/>
    <d v="2025-06-12T00:00:00"/>
    <x v="5"/>
  </r>
  <r>
    <n v="214"/>
    <s v="INV214"/>
    <s v="JOHN THORNTON"/>
    <x v="1"/>
    <x v="2"/>
    <x v="9"/>
    <x v="3"/>
    <n v="196"/>
    <x v="210"/>
    <x v="0"/>
    <d v="2025-07-01T00:00:00"/>
    <x v="4"/>
  </r>
  <r>
    <n v="215"/>
    <s v="INV215"/>
    <s v="ERIN JENNINGS"/>
    <x v="1"/>
    <x v="2"/>
    <x v="8"/>
    <x v="2"/>
    <n v="395"/>
    <x v="211"/>
    <x v="3"/>
    <d v="2025-06-07T00:00:00"/>
    <x v="5"/>
  </r>
  <r>
    <n v="216"/>
    <s v="INV216"/>
    <s v="BRIANNA ROMERO"/>
    <x v="0"/>
    <x v="3"/>
    <x v="5"/>
    <x v="2"/>
    <n v="190"/>
    <x v="212"/>
    <x v="0"/>
    <d v="2025-06-27T00:00:00"/>
    <x v="3"/>
  </r>
  <r>
    <n v="217"/>
    <s v="INV217"/>
    <s v="KIM BERGER MD"/>
    <x v="0"/>
    <x v="2"/>
    <x v="17"/>
    <x v="7"/>
    <n v="319"/>
    <x v="213"/>
    <x v="3"/>
    <d v="2025-06-14T00:00:00"/>
    <x v="5"/>
  </r>
  <r>
    <n v="218"/>
    <s v="INV218"/>
    <s v="FERNANDO PUGH"/>
    <x v="1"/>
    <x v="3"/>
    <x v="16"/>
    <x v="2"/>
    <n v="298"/>
    <x v="214"/>
    <x v="0"/>
    <d v="2025-06-25T00:00:00"/>
    <x v="3"/>
  </r>
  <r>
    <n v="219"/>
    <s v="INV219"/>
    <s v="RICHARD BOLTON"/>
    <x v="0"/>
    <x v="2"/>
    <x v="2"/>
    <x v="5"/>
    <n v="896"/>
    <x v="215"/>
    <x v="2"/>
    <d v="2025-06-25T00:00:00"/>
    <x v="3"/>
  </r>
  <r>
    <n v="220"/>
    <s v="INV220"/>
    <s v="JORDAN TANNER"/>
    <x v="0"/>
    <x v="2"/>
    <x v="8"/>
    <x v="3"/>
    <n v="247"/>
    <x v="216"/>
    <x v="0"/>
    <d v="2025-06-06T00:00:00"/>
    <x v="6"/>
  </r>
  <r>
    <n v="221"/>
    <s v="INV221"/>
    <s v="DONNA LEE"/>
    <x v="0"/>
    <x v="0"/>
    <x v="13"/>
    <x v="1"/>
    <n v="878"/>
    <x v="217"/>
    <x v="1"/>
    <d v="2025-06-11T00:00:00"/>
    <x v="2"/>
  </r>
  <r>
    <n v="222"/>
    <s v="INV222"/>
    <s v="JOHN ODOM"/>
    <x v="0"/>
    <x v="0"/>
    <x v="11"/>
    <x v="1"/>
    <n v="155"/>
    <x v="218"/>
    <x v="0"/>
    <d v="2025-06-26T00:00:00"/>
    <x v="5"/>
  </r>
  <r>
    <n v="223"/>
    <s v="INV223"/>
    <s v="NOAH MOODY"/>
    <x v="0"/>
    <x v="2"/>
    <x v="8"/>
    <x v="3"/>
    <n v="273"/>
    <x v="219"/>
    <x v="2"/>
    <d v="2025-06-10T00:00:00"/>
    <x v="0"/>
  </r>
  <r>
    <n v="224"/>
    <s v="INV224"/>
    <s v="MICHEAL RIVERA"/>
    <x v="0"/>
    <x v="2"/>
    <x v="17"/>
    <x v="8"/>
    <n v="637"/>
    <x v="220"/>
    <x v="3"/>
    <d v="2025-06-12T00:00:00"/>
    <x v="3"/>
  </r>
  <r>
    <n v="225"/>
    <s v="INV225"/>
    <s v="AMANDA JOHNSON"/>
    <x v="0"/>
    <x v="3"/>
    <x v="5"/>
    <x v="1"/>
    <n v="546"/>
    <x v="90"/>
    <x v="0"/>
    <d v="2025-06-03T00:00:00"/>
    <x v="4"/>
  </r>
  <r>
    <n v="226"/>
    <s v="INV226"/>
    <s v="TONYA CLARK"/>
    <x v="0"/>
    <x v="2"/>
    <x v="9"/>
    <x v="11"/>
    <n v="176"/>
    <x v="221"/>
    <x v="1"/>
    <d v="2025-06-23T00:00:00"/>
    <x v="4"/>
  </r>
  <r>
    <n v="227"/>
    <s v="INV227"/>
    <s v="DAVID WEBB"/>
    <x v="0"/>
    <x v="3"/>
    <x v="19"/>
    <x v="2"/>
    <n v="697"/>
    <x v="222"/>
    <x v="3"/>
    <d v="2025-06-21T00:00:00"/>
    <x v="4"/>
  </r>
  <r>
    <n v="228"/>
    <s v="INV228"/>
    <s v="AMY OLIVER"/>
    <x v="0"/>
    <x v="1"/>
    <x v="1"/>
    <x v="7"/>
    <n v="86"/>
    <x v="223"/>
    <x v="1"/>
    <d v="2025-06-17T00:00:00"/>
    <x v="5"/>
  </r>
  <r>
    <n v="229"/>
    <s v="INV229"/>
    <s v="ANGEL SCOTT"/>
    <x v="0"/>
    <x v="2"/>
    <x v="17"/>
    <x v="6"/>
    <n v="917"/>
    <x v="224"/>
    <x v="3"/>
    <d v="2025-06-23T00:00:00"/>
    <x v="1"/>
  </r>
  <r>
    <n v="230"/>
    <s v="INV230"/>
    <s v="COLE SINGLETON"/>
    <x v="1"/>
    <x v="3"/>
    <x v="7"/>
    <x v="9"/>
    <n v="715"/>
    <x v="225"/>
    <x v="3"/>
    <d v="2025-06-07T00:00:00"/>
    <x v="1"/>
  </r>
  <r>
    <n v="231"/>
    <s v="INV231"/>
    <s v="KYLE CHAPMAN"/>
    <x v="0"/>
    <x v="1"/>
    <x v="1"/>
    <x v="8"/>
    <n v="192"/>
    <x v="226"/>
    <x v="3"/>
    <d v="2025-06-09T00:00:00"/>
    <x v="4"/>
  </r>
  <r>
    <n v="232"/>
    <s v="INV232"/>
    <s v="HECTOR PARK"/>
    <x v="1"/>
    <x v="3"/>
    <x v="7"/>
    <x v="5"/>
    <n v="113"/>
    <x v="227"/>
    <x v="1"/>
    <d v="2025-06-11T00:00:00"/>
    <x v="5"/>
  </r>
  <r>
    <n v="233"/>
    <s v="INV233"/>
    <s v="SEAN HOPKINS"/>
    <x v="0"/>
    <x v="0"/>
    <x v="0"/>
    <x v="1"/>
    <n v="924"/>
    <x v="228"/>
    <x v="0"/>
    <d v="2025-06-05T00:00:00"/>
    <x v="4"/>
  </r>
  <r>
    <n v="234"/>
    <s v="INV234"/>
    <s v="AMY HART"/>
    <x v="0"/>
    <x v="3"/>
    <x v="5"/>
    <x v="5"/>
    <n v="968"/>
    <x v="229"/>
    <x v="1"/>
    <d v="2025-06-27T00:00:00"/>
    <x v="6"/>
  </r>
  <r>
    <n v="235"/>
    <s v="INV235"/>
    <s v="HEATHER CHAVEZ"/>
    <x v="1"/>
    <x v="0"/>
    <x v="13"/>
    <x v="4"/>
    <n v="681"/>
    <x v="230"/>
    <x v="3"/>
    <d v="2025-06-18T00:00:00"/>
    <x v="6"/>
  </r>
  <r>
    <n v="236"/>
    <s v="INV236"/>
    <s v="ELIZABETH HARMON"/>
    <x v="1"/>
    <x v="0"/>
    <x v="14"/>
    <x v="2"/>
    <n v="460"/>
    <x v="231"/>
    <x v="0"/>
    <d v="2025-06-13T00:00:00"/>
    <x v="4"/>
  </r>
  <r>
    <n v="237"/>
    <s v="INV237"/>
    <s v="ANNETTE PATTERSON"/>
    <x v="0"/>
    <x v="0"/>
    <x v="6"/>
    <x v="5"/>
    <n v="644"/>
    <x v="232"/>
    <x v="2"/>
    <d v="2025-06-07T00:00:00"/>
    <x v="0"/>
  </r>
  <r>
    <n v="238"/>
    <s v="INV238"/>
    <s v="CHAD CISNEROS"/>
    <x v="0"/>
    <x v="1"/>
    <x v="12"/>
    <x v="0"/>
    <n v="219"/>
    <x v="233"/>
    <x v="1"/>
    <d v="2025-06-18T00:00:00"/>
    <x v="4"/>
  </r>
  <r>
    <n v="239"/>
    <s v="INV239"/>
    <s v="TRACY CUNNINGHAM"/>
    <x v="1"/>
    <x v="1"/>
    <x v="10"/>
    <x v="4"/>
    <n v="894"/>
    <x v="234"/>
    <x v="2"/>
    <d v="2025-06-27T00:00:00"/>
    <x v="0"/>
  </r>
  <r>
    <n v="240"/>
    <s v="INV240"/>
    <s v="MORGAN MYERS"/>
    <x v="1"/>
    <x v="1"/>
    <x v="10"/>
    <x v="3"/>
    <n v="437"/>
    <x v="235"/>
    <x v="2"/>
    <d v="2025-06-22T00:00:00"/>
    <x v="4"/>
  </r>
  <r>
    <n v="241"/>
    <s v="INV241"/>
    <s v="DARRELL KENNEDY"/>
    <x v="1"/>
    <x v="3"/>
    <x v="5"/>
    <x v="3"/>
    <n v="431"/>
    <x v="236"/>
    <x v="1"/>
    <d v="2025-06-17T00:00:00"/>
    <x v="5"/>
  </r>
  <r>
    <n v="242"/>
    <s v="INV242"/>
    <s v="CHRISTINE HAMMOND"/>
    <x v="1"/>
    <x v="3"/>
    <x v="18"/>
    <x v="4"/>
    <n v="352"/>
    <x v="63"/>
    <x v="3"/>
    <d v="2025-06-25T00:00:00"/>
    <x v="6"/>
  </r>
  <r>
    <n v="243"/>
    <s v="INV243"/>
    <s v="INV243"/>
    <x v="1"/>
    <x v="0"/>
    <x v="11"/>
    <x v="5"/>
    <n v="623"/>
    <x v="237"/>
    <x v="3"/>
    <d v="2025-06-23T00:00:00"/>
    <x v="5"/>
  </r>
  <r>
    <n v="244"/>
    <s v="INV244"/>
    <s v="CAROL WATSON"/>
    <x v="1"/>
    <x v="2"/>
    <x v="17"/>
    <x v="6"/>
    <n v="695"/>
    <x v="238"/>
    <x v="3"/>
    <d v="2025-06-28T00:00:00"/>
    <x v="5"/>
  </r>
  <r>
    <n v="245"/>
    <s v="INV245"/>
    <s v="JONATHAN LEE"/>
    <x v="0"/>
    <x v="0"/>
    <x v="6"/>
    <x v="1"/>
    <n v="917"/>
    <x v="239"/>
    <x v="0"/>
    <d v="2025-06-20T00:00:00"/>
    <x v="0"/>
  </r>
  <r>
    <n v="246"/>
    <s v="INV025"/>
    <s v="MICHAEL ALVARADO"/>
    <x v="1"/>
    <x v="2"/>
    <x v="9"/>
    <x v="6"/>
    <n v="263"/>
    <x v="23"/>
    <x v="3"/>
    <d v="2025-07-02T00:00:00"/>
    <x v="6"/>
  </r>
  <r>
    <n v="247"/>
    <s v="INV007"/>
    <s v="DUSTIN COOPER"/>
    <x v="0"/>
    <x v="1"/>
    <x v="4"/>
    <x v="2"/>
    <n v="763"/>
    <x v="6"/>
    <x v="2"/>
    <d v="2025-06-08T00:00:00"/>
    <x v="3"/>
  </r>
  <r>
    <n v="248"/>
    <s v="INV154"/>
    <s v="BRIANNA DAVIS"/>
    <x v="0"/>
    <x v="0"/>
    <x v="6"/>
    <x v="2"/>
    <n v="128"/>
    <x v="151"/>
    <x v="3"/>
    <d v="2025-06-11T00:00:00"/>
    <x v="1"/>
  </r>
  <r>
    <n v="249"/>
    <s v="INV213"/>
    <s v="DAVID BLAIR"/>
    <x v="1"/>
    <x v="0"/>
    <x v="14"/>
    <x v="5"/>
    <n v="624"/>
    <x v="209"/>
    <x v="3"/>
    <d v="2025-06-12T00:00:00"/>
    <x v="5"/>
  </r>
  <r>
    <n v="250"/>
    <s v="INV200"/>
    <s v="AMY SUAREZ"/>
    <x v="1"/>
    <x v="2"/>
    <x v="17"/>
    <x v="6"/>
    <n v="162"/>
    <x v="197"/>
    <x v="2"/>
    <d v="2025-06-28T00:00:0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40:E43" firstHeaderRow="1" firstDataRow="1" firstDataCol="1"/>
  <pivotFields count="12">
    <pivotField showAll="0"/>
    <pivotField showAll="0"/>
    <pivotField showAll="0"/>
    <pivotField axis="axisRow" showAll="0">
      <items count="3">
        <item x="0"/>
        <item x="1"/>
        <item t="default"/>
      </items>
    </pivotField>
    <pivotField dataField="1" showAll="0">
      <items count="5">
        <item x="1"/>
        <item x="2"/>
        <item x="3"/>
        <item x="0"/>
        <item t="default"/>
      </items>
    </pivotField>
    <pivotField showAll="0">
      <items count="21">
        <item x="8"/>
        <item x="0"/>
        <item x="17"/>
        <item x="6"/>
        <item x="14"/>
        <item x="4"/>
        <item x="11"/>
        <item x="18"/>
        <item x="9"/>
        <item x="1"/>
        <item x="13"/>
        <item x="16"/>
        <item x="10"/>
        <item x="7"/>
        <item x="12"/>
        <item x="5"/>
        <item x="3"/>
        <item x="2"/>
        <item x="19"/>
        <item x="15"/>
        <item t="default"/>
      </items>
    </pivotField>
    <pivotField numFmtId="1" showAll="0">
      <items count="13">
        <item x="5"/>
        <item x="0"/>
        <item x="6"/>
        <item x="8"/>
        <item x="1"/>
        <item x="4"/>
        <item x="3"/>
        <item x="7"/>
        <item x="9"/>
        <item x="2"/>
        <item x="11"/>
        <item x="10"/>
        <item t="default"/>
      </items>
    </pivotField>
    <pivotField showAll="0"/>
    <pivotField showAll="0"/>
    <pivotField showAll="0">
      <items count="5">
        <item x="0"/>
        <item x="1"/>
        <item x="3"/>
        <item x="2"/>
        <item t="default"/>
      </items>
    </pivotField>
    <pivotField numFmtId="14" showAll="0"/>
    <pivotField showAll="0">
      <items count="8">
        <item x="5"/>
        <item x="1"/>
        <item x="3"/>
        <item x="6"/>
        <item x="4"/>
        <item x="2"/>
        <item x="0"/>
        <item t="default"/>
      </items>
    </pivotField>
  </pivotFields>
  <rowFields count="1">
    <field x="3"/>
  </rowFields>
  <rowItems count="3">
    <i>
      <x/>
    </i>
    <i>
      <x v="1"/>
    </i>
    <i t="grand">
      <x/>
    </i>
  </rowItems>
  <colItems count="1">
    <i/>
  </colItems>
  <dataFields count="1">
    <dataField name="COUNT P_CATEGORY" fld="4" subtotal="count" baseField="3" baseItem="0"/>
  </dataFields>
  <formats count="2">
    <format dxfId="658">
      <pivotArea outline="0" collapsedLevelsAreSubtotals="1" fieldPosition="0"/>
    </format>
    <format dxfId="6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D19:E22" firstHeaderRow="1" firstDataRow="1" firstDataCol="1"/>
  <pivotFields count="12">
    <pivotField showAll="0"/>
    <pivotField showAll="0"/>
    <pivotField showAll="0"/>
    <pivotField axis="axisRow" showAll="0">
      <items count="3">
        <item x="0"/>
        <item x="1"/>
        <item t="default"/>
      </items>
    </pivotField>
    <pivotField showAll="0"/>
    <pivotField showAll="0">
      <items count="21">
        <item x="8"/>
        <item x="0"/>
        <item x="17"/>
        <item x="6"/>
        <item x="14"/>
        <item x="4"/>
        <item x="11"/>
        <item x="18"/>
        <item x="9"/>
        <item x="1"/>
        <item x="13"/>
        <item x="16"/>
        <item x="10"/>
        <item x="7"/>
        <item x="12"/>
        <item x="5"/>
        <item x="3"/>
        <item x="2"/>
        <item x="19"/>
        <item x="15"/>
        <item t="default"/>
      </items>
    </pivotField>
    <pivotField dataField="1" numFmtId="1" showAll="0">
      <items count="13">
        <item x="5"/>
        <item x="0"/>
        <item x="6"/>
        <item x="8"/>
        <item x="1"/>
        <item x="4"/>
        <item x="3"/>
        <item x="7"/>
        <item x="9"/>
        <item x="2"/>
        <item x="11"/>
        <item x="10"/>
        <item t="default"/>
      </items>
    </pivotField>
    <pivotField showAll="0"/>
    <pivotField showAll="0"/>
    <pivotField showAll="0">
      <items count="5">
        <item x="0"/>
        <item x="1"/>
        <item x="3"/>
        <item x="2"/>
        <item t="default"/>
      </items>
    </pivotField>
    <pivotField numFmtId="14" showAll="0"/>
    <pivotField showAll="0">
      <items count="8">
        <item x="5"/>
        <item x="1"/>
        <item x="3"/>
        <item x="6"/>
        <item x="4"/>
        <item x="2"/>
        <item x="0"/>
        <item t="default"/>
      </items>
    </pivotField>
  </pivotFields>
  <rowFields count="1">
    <field x="3"/>
  </rowFields>
  <rowItems count="3">
    <i>
      <x/>
    </i>
    <i>
      <x v="1"/>
    </i>
    <i t="grand">
      <x/>
    </i>
  </rowItems>
  <colItems count="1">
    <i/>
  </colItems>
  <dataFields count="1">
    <dataField name="SUM QUANTITY" fld="6" baseField="3" baseItem="0"/>
  </dataFields>
  <formats count="2">
    <format dxfId="660">
      <pivotArea outline="0" collapsedLevelsAreSubtotals="1" fieldPosition="0"/>
    </format>
    <format dxfId="659">
      <pivotArea dataOnly="0" labelOnly="1" outline="0" axis="axisValues"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A3:B24" firstHeaderRow="1" firstDataRow="1" firstDataCol="1"/>
  <pivotFields count="12">
    <pivotField showAll="0"/>
    <pivotField showAll="0"/>
    <pivotField showAll="0"/>
    <pivotField showAll="0"/>
    <pivotField showAll="0"/>
    <pivotField axis="axisRow" showAll="0">
      <items count="21">
        <item x="8"/>
        <item x="0"/>
        <item x="17"/>
        <item x="6"/>
        <item x="14"/>
        <item x="4"/>
        <item x="11"/>
        <item x="18"/>
        <item x="9"/>
        <item x="1"/>
        <item x="13"/>
        <item x="16"/>
        <item x="10"/>
        <item x="7"/>
        <item x="12"/>
        <item x="5"/>
        <item x="3"/>
        <item x="2"/>
        <item x="19"/>
        <item x="15"/>
        <item t="default"/>
      </items>
    </pivotField>
    <pivotField dataField="1" numFmtId="1" showAll="0">
      <items count="13">
        <item x="5"/>
        <item x="0"/>
        <item x="6"/>
        <item x="8"/>
        <item x="1"/>
        <item x="4"/>
        <item x="3"/>
        <item x="7"/>
        <item x="9"/>
        <item x="2"/>
        <item x="11"/>
        <item x="10"/>
        <item t="default"/>
      </items>
    </pivotField>
    <pivotField showAll="0"/>
    <pivotField showAll="0"/>
    <pivotField showAll="0">
      <items count="5">
        <item x="0"/>
        <item x="1"/>
        <item x="3"/>
        <item x="2"/>
        <item t="default"/>
      </items>
    </pivotField>
    <pivotField numFmtId="14" showAll="0"/>
    <pivotField showAll="0">
      <items count="8">
        <item x="5"/>
        <item x="1"/>
        <item x="3"/>
        <item x="6"/>
        <item x="4"/>
        <item x="2"/>
        <item x="0"/>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QUANTITY" fld="6" baseField="5" baseItem="0"/>
  </dataFields>
  <formats count="1">
    <format dxfId="661">
      <pivotArea outline="0" collapsedLevelsAreSubtotals="1" fieldPosition="0"/>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location ref="D3:E8" firstHeaderRow="1" firstDataRow="1" firstDataCol="1"/>
  <pivotFields count="12">
    <pivotField showAll="0"/>
    <pivotField showAll="0"/>
    <pivotField showAll="0"/>
    <pivotField showAll="0"/>
    <pivotField showAll="0"/>
    <pivotField showAll="0">
      <items count="21">
        <item x="8"/>
        <item x="0"/>
        <item x="17"/>
        <item x="6"/>
        <item x="14"/>
        <item x="4"/>
        <item x="11"/>
        <item x="18"/>
        <item x="9"/>
        <item x="1"/>
        <item x="13"/>
        <item x="16"/>
        <item x="10"/>
        <item x="7"/>
        <item x="12"/>
        <item x="5"/>
        <item x="3"/>
        <item x="2"/>
        <item x="19"/>
        <item x="15"/>
        <item t="default"/>
      </items>
    </pivotField>
    <pivotField numFmtId="1" showAll="0">
      <items count="13">
        <item x="5"/>
        <item x="0"/>
        <item x="6"/>
        <item x="8"/>
        <item x="1"/>
        <item x="4"/>
        <item x="3"/>
        <item x="7"/>
        <item x="9"/>
        <item x="2"/>
        <item x="11"/>
        <item x="10"/>
        <item t="default"/>
      </items>
    </pivotField>
    <pivotField showAll="0"/>
    <pivotField dataField="1" showAll="0"/>
    <pivotField axis="axisRow" showAll="0">
      <items count="5">
        <item x="0"/>
        <item x="1"/>
        <item x="3"/>
        <item x="2"/>
        <item t="default"/>
      </items>
    </pivotField>
    <pivotField numFmtId="14" showAll="0"/>
    <pivotField showAll="0">
      <items count="8">
        <item x="5"/>
        <item x="1"/>
        <item x="3"/>
        <item x="6"/>
        <item x="4"/>
        <item x="2"/>
        <item x="0"/>
        <item t="default"/>
      </items>
    </pivotField>
  </pivotFields>
  <rowFields count="1">
    <field x="9"/>
  </rowFields>
  <rowItems count="5">
    <i>
      <x/>
    </i>
    <i>
      <x v="1"/>
    </i>
    <i>
      <x v="2"/>
    </i>
    <i>
      <x v="3"/>
    </i>
    <i t="grand">
      <x/>
    </i>
  </rowItems>
  <colItems count="1">
    <i/>
  </colItems>
  <dataFields count="1">
    <dataField name="SUM TOTAL_AMOUNT" fld="8" baseField="9"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28:E36" firstHeaderRow="1" firstDataRow="1" firstDataCol="1"/>
  <pivotFields count="12">
    <pivotField showAll="0"/>
    <pivotField showAll="0"/>
    <pivotField showAll="0"/>
    <pivotField showAll="0"/>
    <pivotField dataField="1" showAll="0">
      <items count="5">
        <item x="1"/>
        <item x="2"/>
        <item x="3"/>
        <item x="0"/>
        <item t="default"/>
      </items>
    </pivotField>
    <pivotField showAll="0">
      <items count="21">
        <item x="8"/>
        <item x="0"/>
        <item x="17"/>
        <item x="6"/>
        <item x="14"/>
        <item x="4"/>
        <item x="11"/>
        <item x="18"/>
        <item x="9"/>
        <item x="1"/>
        <item x="13"/>
        <item x="16"/>
        <item x="10"/>
        <item x="7"/>
        <item x="12"/>
        <item x="5"/>
        <item x="3"/>
        <item x="2"/>
        <item x="19"/>
        <item x="15"/>
        <item t="default"/>
      </items>
    </pivotField>
    <pivotField numFmtId="1" showAll="0">
      <items count="13">
        <item x="5"/>
        <item x="0"/>
        <item x="6"/>
        <item x="8"/>
        <item x="1"/>
        <item x="4"/>
        <item x="3"/>
        <item x="7"/>
        <item x="9"/>
        <item x="2"/>
        <item x="11"/>
        <item x="10"/>
        <item t="default"/>
      </items>
    </pivotField>
    <pivotField showAll="0"/>
    <pivotField showAll="0"/>
    <pivotField showAll="0">
      <items count="5">
        <item x="0"/>
        <item x="1"/>
        <item x="3"/>
        <item x="2"/>
        <item t="default"/>
      </items>
    </pivotField>
    <pivotField numFmtId="14" showAll="0"/>
    <pivotField axis="axisRow" showAll="0">
      <items count="8">
        <item x="5"/>
        <item x="1"/>
        <item x="3"/>
        <item x="6"/>
        <item x="4"/>
        <item x="2"/>
        <item x="0"/>
        <item t="default"/>
      </items>
    </pivotField>
  </pivotFields>
  <rowFields count="1">
    <field x="11"/>
  </rowFields>
  <rowItems count="8">
    <i>
      <x/>
    </i>
    <i>
      <x v="1"/>
    </i>
    <i>
      <x v="2"/>
    </i>
    <i>
      <x v="3"/>
    </i>
    <i>
      <x v="4"/>
    </i>
    <i>
      <x v="5"/>
    </i>
    <i>
      <x v="6"/>
    </i>
    <i t="grand">
      <x/>
    </i>
  </rowItems>
  <colItems count="1">
    <i/>
  </colItems>
  <dataFields count="1">
    <dataField name="Count of PRODUCT_CATEGORY" fld="4" subtotal="count" baseField="11" baseItem="0"/>
  </dataFields>
  <formats count="2">
    <format dxfId="663">
      <pivotArea outline="0" collapsedLevelsAreSubtotals="1" fieldPosition="0"/>
    </format>
    <format dxfId="662">
      <pivotArea dataOnly="0" labelOnly="1" outline="0" axis="axisValues" fieldPosition="0"/>
    </format>
  </formats>
  <chartFormats count="8">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1" count="1" selected="0">
            <x v="0"/>
          </reference>
        </references>
      </pivotArea>
    </chartFormat>
    <chartFormat chart="4" format="3">
      <pivotArea type="data" outline="0" fieldPosition="0">
        <references count="2">
          <reference field="4294967294" count="1" selected="0">
            <x v="0"/>
          </reference>
          <reference field="11" count="1" selected="0">
            <x v="1"/>
          </reference>
        </references>
      </pivotArea>
    </chartFormat>
    <chartFormat chart="4" format="4">
      <pivotArea type="data" outline="0" fieldPosition="0">
        <references count="2">
          <reference field="4294967294" count="1" selected="0">
            <x v="0"/>
          </reference>
          <reference field="11" count="1" selected="0">
            <x v="2"/>
          </reference>
        </references>
      </pivotArea>
    </chartFormat>
    <chartFormat chart="4" format="5">
      <pivotArea type="data" outline="0" fieldPosition="0">
        <references count="2">
          <reference field="4294967294" count="1" selected="0">
            <x v="0"/>
          </reference>
          <reference field="11" count="1" selected="0">
            <x v="3"/>
          </reference>
        </references>
      </pivotArea>
    </chartFormat>
    <chartFormat chart="4" format="6">
      <pivotArea type="data" outline="0" fieldPosition="0">
        <references count="2">
          <reference field="4294967294" count="1" selected="0">
            <x v="0"/>
          </reference>
          <reference field="11" count="1" selected="0">
            <x v="4"/>
          </reference>
        </references>
      </pivotArea>
    </chartFormat>
    <chartFormat chart="4" format="7">
      <pivotArea type="data" outline="0" fieldPosition="0">
        <references count="2">
          <reference field="4294967294" count="1" selected="0">
            <x v="0"/>
          </reference>
          <reference field="11" count="1" selected="0">
            <x v="5"/>
          </reference>
        </references>
      </pivotArea>
    </chartFormat>
    <chartFormat chart="4" format="8">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A39:A40" firstHeaderRow="1" firstDataRow="1" firstDataCol="0"/>
  <pivotFields count="12">
    <pivotField showAll="0"/>
    <pivotField showAll="0"/>
    <pivotField showAll="0"/>
    <pivotField showAll="0"/>
    <pivotField showAll="0">
      <items count="5">
        <item x="1"/>
        <item x="2"/>
        <item x="3"/>
        <item x="0"/>
        <item t="default"/>
      </items>
    </pivotField>
    <pivotField showAll="0">
      <items count="21">
        <item x="8"/>
        <item x="0"/>
        <item x="17"/>
        <item x="6"/>
        <item x="14"/>
        <item x="4"/>
        <item x="11"/>
        <item x="18"/>
        <item x="9"/>
        <item x="1"/>
        <item x="13"/>
        <item x="16"/>
        <item x="10"/>
        <item x="7"/>
        <item x="12"/>
        <item x="5"/>
        <item x="3"/>
        <item x="2"/>
        <item x="19"/>
        <item x="15"/>
        <item t="default"/>
      </items>
    </pivotField>
    <pivotField dataField="1" numFmtId="1" showAll="0">
      <items count="13">
        <item x="5"/>
        <item x="0"/>
        <item x="6"/>
        <item x="8"/>
        <item x="1"/>
        <item x="4"/>
        <item x="3"/>
        <item x="7"/>
        <item x="9"/>
        <item x="2"/>
        <item x="11"/>
        <item x="10"/>
        <item t="default"/>
      </items>
    </pivotField>
    <pivotField showAll="0"/>
    <pivotField showAll="0"/>
    <pivotField showAll="0">
      <items count="5">
        <item x="0"/>
        <item x="1"/>
        <item x="3"/>
        <item x="2"/>
        <item t="default"/>
      </items>
    </pivotField>
    <pivotField numFmtId="14" showAll="0"/>
    <pivotField showAll="0">
      <items count="8">
        <item x="5"/>
        <item x="1"/>
        <item x="3"/>
        <item x="6"/>
        <item x="4"/>
        <item x="2"/>
        <item x="0"/>
        <item t="default"/>
      </items>
    </pivotField>
  </pivotFields>
  <rowItems count="1">
    <i/>
  </rowItems>
  <colItems count="1">
    <i/>
  </colItems>
  <dataFields count="1">
    <dataField name="Sum of QUANTITY" fld="6" baseField="0" baseItem="0"/>
  </dataFields>
  <formats count="1">
    <format dxfId="66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A36:A37" firstHeaderRow="1" firstDataRow="1" firstDataCol="0"/>
  <pivotFields count="12">
    <pivotField showAll="0"/>
    <pivotField showAll="0"/>
    <pivotField showAll="0"/>
    <pivotField showAll="0"/>
    <pivotField showAll="0">
      <items count="5">
        <item x="1"/>
        <item x="2"/>
        <item x="3"/>
        <item x="0"/>
        <item t="default"/>
      </items>
    </pivotField>
    <pivotField showAll="0">
      <items count="21">
        <item h="1" x="8"/>
        <item h="1" x="0"/>
        <item h="1" x="17"/>
        <item h="1" x="6"/>
        <item h="1" x="14"/>
        <item h="1" x="4"/>
        <item h="1" x="11"/>
        <item x="18"/>
        <item h="1" x="9"/>
        <item h="1" x="1"/>
        <item h="1" x="13"/>
        <item h="1" x="16"/>
        <item h="1" x="10"/>
        <item h="1" x="7"/>
        <item h="1" x="12"/>
        <item h="1" x="5"/>
        <item h="1" x="3"/>
        <item h="1" x="2"/>
        <item h="1" x="19"/>
        <item h="1" x="15"/>
        <item t="default"/>
      </items>
    </pivotField>
    <pivotField numFmtId="1" showAll="0">
      <items count="13">
        <item x="5"/>
        <item x="0"/>
        <item x="6"/>
        <item x="8"/>
        <item x="1"/>
        <item x="4"/>
        <item x="3"/>
        <item x="7"/>
        <item x="9"/>
        <item x="2"/>
        <item x="11"/>
        <item x="10"/>
        <item t="default"/>
      </items>
    </pivotField>
    <pivotField showAll="0"/>
    <pivotField dataField="1" showAll="0">
      <items count="241">
        <item x="71"/>
        <item x="227"/>
        <item x="132"/>
        <item x="42"/>
        <item x="45"/>
        <item x="84"/>
        <item x="75"/>
        <item x="76"/>
        <item x="80"/>
        <item x="28"/>
        <item x="24"/>
        <item x="181"/>
        <item x="58"/>
        <item x="145"/>
        <item x="11"/>
        <item x="20"/>
        <item x="204"/>
        <item x="5"/>
        <item x="195"/>
        <item x="59"/>
        <item x="233"/>
        <item x="77"/>
        <item x="99"/>
        <item x="19"/>
        <item x="197"/>
        <item x="72"/>
        <item x="189"/>
        <item x="140"/>
        <item x="173"/>
        <item x="156"/>
        <item x="103"/>
        <item x="203"/>
        <item x="237"/>
        <item x="209"/>
        <item x="89"/>
        <item x="232"/>
        <item x="180"/>
        <item x="163"/>
        <item x="117"/>
        <item x="121"/>
        <item x="52"/>
        <item x="223"/>
        <item x="39"/>
        <item x="78"/>
        <item x="30"/>
        <item x="226"/>
        <item x="218"/>
        <item x="171"/>
        <item x="23"/>
        <item x="37"/>
        <item x="100"/>
        <item x="21"/>
        <item x="64"/>
        <item x="50"/>
        <item x="119"/>
        <item x="215"/>
        <item x="4"/>
        <item x="229"/>
        <item x="144"/>
        <item x="29"/>
        <item x="199"/>
        <item x="165"/>
        <item x="208"/>
        <item x="7"/>
        <item x="151"/>
        <item x="210"/>
        <item x="113"/>
        <item x="62"/>
        <item x="138"/>
        <item x="122"/>
        <item x="104"/>
        <item x="191"/>
        <item x="177"/>
        <item x="73"/>
        <item x="32"/>
        <item x="175"/>
        <item x="153"/>
        <item x="34"/>
        <item x="200"/>
        <item x="185"/>
        <item x="96"/>
        <item x="128"/>
        <item x="31"/>
        <item x="216"/>
        <item x="88"/>
        <item x="0"/>
        <item x="43"/>
        <item x="131"/>
        <item x="55"/>
        <item x="212"/>
        <item x="219"/>
        <item x="91"/>
        <item x="135"/>
        <item x="168"/>
        <item x="207"/>
        <item x="17"/>
        <item x="83"/>
        <item x="167"/>
        <item x="238"/>
        <item x="14"/>
        <item x="174"/>
        <item x="130"/>
        <item x="63"/>
        <item x="150"/>
        <item x="97"/>
        <item x="148"/>
        <item x="120"/>
        <item x="206"/>
        <item x="26"/>
        <item x="190"/>
        <item x="82"/>
        <item x="182"/>
        <item x="54"/>
        <item x="176"/>
        <item x="147"/>
        <item x="56"/>
        <item x="44"/>
        <item x="74"/>
        <item x="87"/>
        <item x="220"/>
        <item x="213"/>
        <item x="12"/>
        <item x="160"/>
        <item x="143"/>
        <item x="178"/>
        <item x="48"/>
        <item x="134"/>
        <item x="106"/>
        <item x="90"/>
        <item x="85"/>
        <item x="224"/>
        <item x="172"/>
        <item x="127"/>
        <item x="3"/>
        <item x="27"/>
        <item x="2"/>
        <item x="159"/>
        <item x="16"/>
        <item x="9"/>
        <item x="136"/>
        <item x="214"/>
        <item x="236"/>
        <item x="235"/>
        <item x="53"/>
        <item x="141"/>
        <item x="81"/>
        <item x="162"/>
        <item x="15"/>
        <item x="157"/>
        <item x="194"/>
        <item x="68"/>
        <item x="18"/>
        <item x="114"/>
        <item x="49"/>
        <item x="67"/>
        <item x="13"/>
        <item x="61"/>
        <item x="179"/>
        <item x="186"/>
        <item x="118"/>
        <item x="211"/>
        <item x="188"/>
        <item x="105"/>
        <item x="230"/>
        <item x="25"/>
        <item x="10"/>
        <item x="155"/>
        <item x="86"/>
        <item x="94"/>
        <item x="70"/>
        <item x="205"/>
        <item x="217"/>
        <item x="166"/>
        <item x="95"/>
        <item x="149"/>
        <item x="183"/>
        <item x="239"/>
        <item x="231"/>
        <item x="66"/>
        <item x="228"/>
        <item x="161"/>
        <item x="187"/>
        <item x="198"/>
        <item x="1"/>
        <item x="51"/>
        <item x="142"/>
        <item x="125"/>
        <item x="38"/>
        <item x="137"/>
        <item x="126"/>
        <item x="107"/>
        <item x="158"/>
        <item x="33"/>
        <item x="234"/>
        <item x="196"/>
        <item x="139"/>
        <item x="112"/>
        <item x="102"/>
        <item x="108"/>
        <item x="111"/>
        <item x="22"/>
        <item x="170"/>
        <item x="57"/>
        <item x="123"/>
        <item x="124"/>
        <item x="154"/>
        <item x="79"/>
        <item x="202"/>
        <item x="192"/>
        <item x="129"/>
        <item x="116"/>
        <item x="201"/>
        <item x="40"/>
        <item x="65"/>
        <item x="225"/>
        <item x="101"/>
        <item x="8"/>
        <item x="164"/>
        <item x="146"/>
        <item x="184"/>
        <item x="169"/>
        <item x="222"/>
        <item x="35"/>
        <item x="193"/>
        <item x="152"/>
        <item x="98"/>
        <item x="6"/>
        <item x="46"/>
        <item x="93"/>
        <item x="41"/>
        <item x="69"/>
        <item x="47"/>
        <item x="36"/>
        <item x="133"/>
        <item x="115"/>
        <item x="92"/>
        <item x="109"/>
        <item x="221"/>
        <item x="60"/>
        <item x="110"/>
        <item t="default"/>
      </items>
    </pivotField>
    <pivotField showAll="0">
      <items count="5">
        <item x="0"/>
        <item x="1"/>
        <item x="3"/>
        <item x="2"/>
        <item t="default"/>
      </items>
    </pivotField>
    <pivotField numFmtId="14" showAll="0"/>
    <pivotField showAll="0">
      <items count="8">
        <item x="5"/>
        <item x="1"/>
        <item x="3"/>
        <item x="6"/>
        <item x="4"/>
        <item x="2"/>
        <item x="0"/>
        <item t="default"/>
      </items>
    </pivotField>
  </pivotFields>
  <rowItems count="1">
    <i/>
  </rowItems>
  <colItems count="1">
    <i/>
  </colItems>
  <dataFields count="1">
    <dataField name="SUM TOTAL_AMOUNT" fld="8" baseField="5" baseItem="0"/>
  </dataFields>
  <formats count="1">
    <format dxfId="665">
      <pivotArea outline="0" collapsedLevelsAreSubtotals="1" fieldPosition="0"/>
    </format>
  </formats>
  <chartFormats count="1">
    <chartFormat chart="2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8">
  <location ref="A28:B33" firstHeaderRow="1" firstDataRow="1" firstDataCol="1"/>
  <pivotFields count="12">
    <pivotField showAll="0"/>
    <pivotField showAll="0"/>
    <pivotField showAll="0"/>
    <pivotField showAll="0"/>
    <pivotField axis="axisRow" showAll="0">
      <items count="5">
        <item x="1"/>
        <item x="2"/>
        <item x="3"/>
        <item x="0"/>
        <item t="default"/>
      </items>
    </pivotField>
    <pivotField showAll="0">
      <items count="21">
        <item x="8"/>
        <item x="0"/>
        <item x="17"/>
        <item x="6"/>
        <item x="14"/>
        <item x="4"/>
        <item x="11"/>
        <item x="18"/>
        <item x="9"/>
        <item x="1"/>
        <item x="13"/>
        <item x="16"/>
        <item x="10"/>
        <item x="7"/>
        <item x="12"/>
        <item x="5"/>
        <item x="3"/>
        <item x="2"/>
        <item x="19"/>
        <item x="15"/>
        <item t="default"/>
      </items>
    </pivotField>
    <pivotField numFmtId="1" showAll="0">
      <items count="13">
        <item x="5"/>
        <item x="0"/>
        <item x="6"/>
        <item x="8"/>
        <item x="1"/>
        <item x="4"/>
        <item x="3"/>
        <item x="7"/>
        <item x="9"/>
        <item x="2"/>
        <item x="11"/>
        <item x="10"/>
        <item t="default"/>
      </items>
    </pivotField>
    <pivotField showAll="0"/>
    <pivotField dataField="1" showAll="0"/>
    <pivotField showAll="0">
      <items count="5">
        <item x="0"/>
        <item x="1"/>
        <item x="3"/>
        <item x="2"/>
        <item t="default"/>
      </items>
    </pivotField>
    <pivotField numFmtId="14" showAll="0"/>
    <pivotField showAll="0">
      <items count="8">
        <item x="5"/>
        <item x="1"/>
        <item x="3"/>
        <item x="6"/>
        <item x="4"/>
        <item x="2"/>
        <item x="0"/>
        <item t="default"/>
      </items>
    </pivotField>
  </pivotFields>
  <rowFields count="1">
    <field x="4"/>
  </rowFields>
  <rowItems count="5">
    <i>
      <x/>
    </i>
    <i>
      <x v="1"/>
    </i>
    <i>
      <x v="2"/>
    </i>
    <i>
      <x v="3"/>
    </i>
    <i t="grand">
      <x/>
    </i>
  </rowItems>
  <colItems count="1">
    <i/>
  </colItems>
  <dataFields count="1">
    <dataField name="SUM TOTAL_AMOUNT" fld="8" baseField="5" baseItem="0"/>
  </dataFields>
  <formats count="1">
    <format dxfId="666">
      <pivotArea outline="0" collapsedLevelsAreSubtotals="1" fieldPosition="0"/>
    </format>
  </formats>
  <chartFormats count="5">
    <chartFormat chart="27" format="1" series="1">
      <pivotArea type="data" outline="0" fieldPosition="0">
        <references count="1">
          <reference field="4294967294" count="1" selected="0">
            <x v="0"/>
          </reference>
        </references>
      </pivotArea>
    </chartFormat>
    <chartFormat chart="27" format="2">
      <pivotArea type="data" outline="0" fieldPosition="0">
        <references count="2">
          <reference field="4294967294" count="1" selected="0">
            <x v="0"/>
          </reference>
          <reference field="4" count="1" selected="0">
            <x v="0"/>
          </reference>
        </references>
      </pivotArea>
    </chartFormat>
    <chartFormat chart="27" format="3">
      <pivotArea type="data" outline="0" fieldPosition="0">
        <references count="2">
          <reference field="4294967294" count="1" selected="0">
            <x v="0"/>
          </reference>
          <reference field="4" count="1" selected="0">
            <x v="1"/>
          </reference>
        </references>
      </pivotArea>
    </chartFormat>
    <chartFormat chart="27" format="4">
      <pivotArea type="data" outline="0" fieldPosition="0">
        <references count="2">
          <reference field="4294967294" count="1" selected="0">
            <x v="0"/>
          </reference>
          <reference field="4" count="1" selected="0">
            <x v="2"/>
          </reference>
        </references>
      </pivotArea>
    </chartFormat>
    <chartFormat chart="27" format="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5:H26" firstHeaderRow="1" firstDataRow="1" firstDataCol="1" rowPageCount="1" colPageCount="1"/>
  <pivotFields count="12">
    <pivotField showAll="0"/>
    <pivotField showAll="0"/>
    <pivotField showAll="0"/>
    <pivotField showAll="0"/>
    <pivotField showAll="0"/>
    <pivotField axis="axisRow" showAll="0">
      <items count="21">
        <item x="8"/>
        <item x="0"/>
        <item x="17"/>
        <item x="6"/>
        <item x="14"/>
        <item x="4"/>
        <item x="11"/>
        <item x="18"/>
        <item x="9"/>
        <item x="1"/>
        <item x="13"/>
        <item x="16"/>
        <item x="10"/>
        <item x="7"/>
        <item x="12"/>
        <item x="5"/>
        <item x="3"/>
        <item x="2"/>
        <item x="19"/>
        <item x="15"/>
        <item t="default"/>
      </items>
    </pivotField>
    <pivotField dataField="1" numFmtId="1" showAll="0">
      <items count="13">
        <item x="5"/>
        <item x="0"/>
        <item x="6"/>
        <item x="8"/>
        <item x="1"/>
        <item x="4"/>
        <item x="3"/>
        <item x="7"/>
        <item x="9"/>
        <item x="2"/>
        <item x="11"/>
        <item x="10"/>
        <item t="default"/>
      </items>
    </pivotField>
    <pivotField showAll="0"/>
    <pivotField showAll="0"/>
    <pivotField showAll="0">
      <items count="5">
        <item x="0"/>
        <item x="1"/>
        <item x="3"/>
        <item x="2"/>
        <item t="default"/>
      </items>
    </pivotField>
    <pivotField numFmtId="14" showAll="0"/>
    <pivotField axis="axisPage" multipleItemSelectionAllowed="1" showAll="0">
      <items count="8">
        <item x="5"/>
        <item x="1"/>
        <item x="3"/>
        <item x="6"/>
        <item x="4"/>
        <item x="2"/>
        <item x="0"/>
        <item t="default"/>
      </items>
    </pivotField>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1">
    <pageField fld="11" hier="-1"/>
  </pageFields>
  <dataFields count="1">
    <dataField name="SUM QUANTITY" fld="6" baseField="5" baseItem="0"/>
  </dataFields>
  <formats count="2">
    <format dxfId="668">
      <pivotArea outline="0" collapsedLevelsAreSubtotals="1" fieldPosition="0"/>
    </format>
    <format dxfId="667">
      <pivotArea collapsedLevelsAreSubtotals="1" fieldPosition="0">
        <references count="1">
          <reference field="5" count="1">
            <x v="0"/>
          </reference>
        </references>
      </pivotArea>
    </format>
  </format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D11:E16" firstHeaderRow="1" firstDataRow="1" firstDataCol="1"/>
  <pivotFields count="12">
    <pivotField showAll="0"/>
    <pivotField showAll="0"/>
    <pivotField showAll="0"/>
    <pivotField showAll="0"/>
    <pivotField axis="axisRow" showAll="0">
      <items count="5">
        <item x="1"/>
        <item x="2"/>
        <item x="3"/>
        <item x="0"/>
        <item t="default"/>
      </items>
    </pivotField>
    <pivotField showAll="0">
      <items count="21">
        <item x="8"/>
        <item x="0"/>
        <item x="17"/>
        <item x="6"/>
        <item x="14"/>
        <item x="4"/>
        <item x="11"/>
        <item x="18"/>
        <item x="9"/>
        <item x="1"/>
        <item x="13"/>
        <item x="16"/>
        <item x="10"/>
        <item x="7"/>
        <item x="12"/>
        <item x="5"/>
        <item x="3"/>
        <item x="2"/>
        <item x="19"/>
        <item x="15"/>
        <item t="default"/>
      </items>
    </pivotField>
    <pivotField dataField="1" numFmtId="1" showAll="0">
      <items count="13">
        <item x="5"/>
        <item x="0"/>
        <item x="6"/>
        <item x="8"/>
        <item x="1"/>
        <item x="4"/>
        <item x="3"/>
        <item x="7"/>
        <item x="9"/>
        <item x="2"/>
        <item x="11"/>
        <item x="10"/>
        <item t="default"/>
      </items>
    </pivotField>
    <pivotField showAll="0"/>
    <pivotField showAll="0"/>
    <pivotField showAll="0">
      <items count="5">
        <item x="0"/>
        <item x="1"/>
        <item x="3"/>
        <item x="2"/>
        <item t="default"/>
      </items>
    </pivotField>
    <pivotField numFmtId="14" showAll="0"/>
    <pivotField showAll="0">
      <items count="8">
        <item x="5"/>
        <item x="1"/>
        <item x="3"/>
        <item x="6"/>
        <item x="4"/>
        <item x="2"/>
        <item x="0"/>
        <item t="default"/>
      </items>
    </pivotField>
  </pivotFields>
  <rowFields count="1">
    <field x="4"/>
  </rowFields>
  <rowItems count="5">
    <i>
      <x/>
    </i>
    <i>
      <x v="1"/>
    </i>
    <i>
      <x v="2"/>
    </i>
    <i>
      <x v="3"/>
    </i>
    <i t="grand">
      <x/>
    </i>
  </rowItems>
  <colItems count="1">
    <i/>
  </colItems>
  <dataFields count="1">
    <dataField name="SUM QUANTITY" fld="6" baseField="4" baseItem="0"/>
  </dataFields>
  <formats count="2">
    <format dxfId="670">
      <pivotArea outline="0" collapsedLevelsAreSubtotals="1" fieldPosition="0"/>
    </format>
    <format dxfId="669">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LOCATION" sourceName="LOCATION">
  <pivotTables>
    <pivotTable tabId="8" name="PivotTable7"/>
    <pivotTable tabId="8" name="PivotTable1"/>
    <pivotTable tabId="8" name="PivotTable10"/>
    <pivotTable tabId="8" name="PivotTable11"/>
    <pivotTable tabId="8" name="PivotTable3"/>
    <pivotTable tabId="8" name="PivotTable8"/>
    <pivotTable tabId="8" name="PivotTable9"/>
    <pivotTable tabId="8" name="PivotTable4"/>
    <pivotTable tabId="8" name="PivotTable5"/>
    <pivotTable tabId="8" name="PivotTable6"/>
  </pivotTables>
  <data>
    <tabular pivotCacheId="1">
      <items count="7">
        <i x="5" s="1"/>
        <i x="1" s="1"/>
        <i x="3" s="1"/>
        <i x="6" s="1"/>
        <i x="4"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8" name="PivotTable1"/>
    <pivotTable tabId="8" name="PivotTable10"/>
    <pivotTable tabId="8" name="PivotTable11"/>
    <pivotTable tabId="8" name="PivotTable3"/>
    <pivotTable tabId="8" name="PivotTable4"/>
    <pivotTable tabId="8" name="PivotTable5"/>
    <pivotTable tabId="8" name="PivotTable6"/>
    <pivotTable tabId="8" name="PivotTable7"/>
    <pivotTable tabId="8" name="PivotTable8"/>
    <pivotTable tabId="8" name="PivotTable9"/>
  </pivotTables>
  <data>
    <tabular pivotCacheId="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LOCATION" cache="Slicer_LOCATION" caption="LOCATION" columnCount="3" style="SlicerStyleLight6" rowHeight="241300"/>
  <slicer name="PAYMENT_METHOD" cache="Slicer_PAYMENT_METHOD" caption="PAYMENT_METHOD" columnCount="2" style="SlicerStyleLight6" rowHeight="241300"/>
</slicers>
</file>

<file path=xl/tables/table1.xml><?xml version="1.0" encoding="utf-8"?>
<table xmlns="http://schemas.openxmlformats.org/spreadsheetml/2006/main" id="2" name="Table2" displayName="Table2" ref="B1:M252" totalsRowCount="1" headerRowDxfId="656">
  <tableColumns count="12">
    <tableColumn id="1" name="S/N" dataDxfId="655" totalsRowDxfId="654"/>
    <tableColumn id="2" name="INVOICE_ID" dataDxfId="653" totalsRowDxfId="652"/>
    <tableColumn id="3" name="CUSTOMER_NAME" dataDxfId="651" totalsRowDxfId="650">
      <calculatedColumnFormula>TRIM(AC2)</calculatedColumnFormula>
    </tableColumn>
    <tableColumn id="4" name="GENDER" dataDxfId="649" totalsRowDxfId="648">
      <calculatedColumnFormula>UPPER(AA2)</calculatedColumnFormula>
    </tableColumn>
    <tableColumn id="5" name="PRODUCT_CATEGORY" dataDxfId="647" totalsRowDxfId="646">
      <calculatedColumnFormula>UPPER(W2)</calculatedColumnFormula>
    </tableColumn>
    <tableColumn id="6" name="PRODUCT_NAME" dataDxfId="645" totalsRowDxfId="644">
      <calculatedColumnFormula>UPPER(S2)</calculatedColumnFormula>
    </tableColumn>
    <tableColumn id="7" name="QUANTITY" dataDxfId="643" totalsRowDxfId="642"/>
    <tableColumn id="8" name="UNIT_PRICE" dataDxfId="641" totalsRowDxfId="640"/>
    <tableColumn id="9" name="TOTAL_AMOUNT" dataDxfId="639" totalsRowDxfId="638">
      <calculatedColumnFormula>I2*H2</calculatedColumnFormula>
    </tableColumn>
    <tableColumn id="10" name="PAYMENT_METHOD" dataDxfId="637" totalsRowDxfId="636"/>
    <tableColumn id="11" name="DATE" dataDxfId="635" totalsRowDxfId="634"/>
    <tableColumn id="12" name="LOCATION">
      <calculatedColumnFormula>UPPER(Q2)</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E253"/>
  <sheetViews>
    <sheetView topLeftCell="A197" zoomScale="70" zoomScaleNormal="70" workbookViewId="0">
      <selection activeCell="H14" sqref="H14"/>
    </sheetView>
  </sheetViews>
  <sheetFormatPr defaultRowHeight="15" x14ac:dyDescent="0.25"/>
  <cols>
    <col min="1" max="1" width="9.140625" customWidth="1"/>
    <col min="2" max="2" width="7.140625" customWidth="1"/>
    <col min="3" max="3" width="13.42578125" customWidth="1"/>
    <col min="4" max="4" width="25.85546875" style="1" customWidth="1"/>
    <col min="5" max="5" width="11" style="1" customWidth="1"/>
    <col min="6" max="6" width="22.28515625" style="1" customWidth="1"/>
    <col min="7" max="7" width="18.28515625" style="1" customWidth="1"/>
    <col min="8" max="8" width="12.42578125" customWidth="1"/>
    <col min="9" max="9" width="13.5703125" customWidth="1"/>
    <col min="10" max="10" width="19.42578125" style="1" customWidth="1"/>
    <col min="11" max="11" width="20.85546875" customWidth="1"/>
    <col min="12" max="12" width="13.140625" customWidth="1"/>
    <col min="13" max="13" width="20.42578125" customWidth="1"/>
    <col min="17" max="17" width="14.85546875" hidden="1" customWidth="1"/>
    <col min="19" max="19" width="9.140625" hidden="1" customWidth="1"/>
    <col min="21" max="21" width="14.7109375" hidden="1" customWidth="1"/>
    <col min="23" max="23" width="12.42578125" style="1" hidden="1" customWidth="1"/>
    <col min="25" max="25" width="21.85546875" hidden="1" customWidth="1"/>
    <col min="27" max="27" width="9.140625" hidden="1" customWidth="1"/>
    <col min="29" max="29" width="23.140625" style="1" hidden="1" customWidth="1"/>
    <col min="31" max="31" width="23.140625" hidden="1" customWidth="1"/>
  </cols>
  <sheetData>
    <row r="1" spans="2:31" x14ac:dyDescent="0.25">
      <c r="B1" t="s">
        <v>550</v>
      </c>
      <c r="C1" s="2" t="s">
        <v>545</v>
      </c>
      <c r="D1" s="2" t="s">
        <v>544</v>
      </c>
      <c r="E1" s="2" t="s">
        <v>543</v>
      </c>
      <c r="F1" s="2" t="s">
        <v>542</v>
      </c>
      <c r="G1" s="2" t="s">
        <v>541</v>
      </c>
      <c r="H1" s="2" t="s">
        <v>540</v>
      </c>
      <c r="I1" s="2" t="s">
        <v>539</v>
      </c>
      <c r="J1" s="2" t="s">
        <v>556</v>
      </c>
      <c r="K1" s="2" t="s">
        <v>538</v>
      </c>
      <c r="L1" s="2" t="s">
        <v>537</v>
      </c>
      <c r="M1" s="11" t="s">
        <v>536</v>
      </c>
      <c r="Q1" s="2" t="s">
        <v>3</v>
      </c>
      <c r="S1" s="2"/>
      <c r="U1" s="2" t="s">
        <v>2</v>
      </c>
      <c r="W1" s="2"/>
      <c r="Y1" s="17" t="s">
        <v>554</v>
      </c>
      <c r="AA1" s="2" t="s">
        <v>1</v>
      </c>
      <c r="AC1" s="2"/>
      <c r="AE1" s="2" t="s">
        <v>0</v>
      </c>
    </row>
    <row r="2" spans="2:31" x14ac:dyDescent="0.25">
      <c r="B2" s="6">
        <v>1</v>
      </c>
      <c r="C2" s="3" t="s">
        <v>4</v>
      </c>
      <c r="D2" s="4" t="str">
        <f t="shared" ref="D2:D25" si="0">TRIM(AC2)</f>
        <v>ANGELICA TAYLOR</v>
      </c>
      <c r="E2" s="6" t="str">
        <f t="shared" ref="E2:E65" si="1">UPPER(AA2)</f>
        <v>FEMALE</v>
      </c>
      <c r="F2" s="6" t="str">
        <f t="shared" ref="F2:F65" si="2">UPPER(W2)</f>
        <v>SNACKS</v>
      </c>
      <c r="G2" s="6" t="str">
        <f t="shared" ref="G2:G65" si="3">UPPER(S2)</f>
        <v>BISCUITS</v>
      </c>
      <c r="H2" s="8">
        <v>2</v>
      </c>
      <c r="I2" s="8">
        <v>893</v>
      </c>
      <c r="J2" s="8">
        <f t="shared" ref="J2:J65" si="4">I2*H2</f>
        <v>1786</v>
      </c>
      <c r="K2" s="6" t="s">
        <v>9</v>
      </c>
      <c r="L2" s="9">
        <v>45838</v>
      </c>
      <c r="M2" t="str">
        <f t="shared" ref="M2:M33" si="5">UPPER(Q2)</f>
        <v>PORT HARCOURT</v>
      </c>
      <c r="N2" s="7"/>
      <c r="Q2" s="1" t="s">
        <v>10</v>
      </c>
      <c r="S2" s="1" t="str">
        <f t="shared" ref="S2:S33" si="6">TRIM(U2)</f>
        <v>Biscuits</v>
      </c>
      <c r="U2" s="1" t="s">
        <v>8</v>
      </c>
      <c r="W2" s="1" t="str">
        <f t="shared" ref="W2:W65" si="7">TRIM(Y2)</f>
        <v>Snacks</v>
      </c>
      <c r="Y2" s="16" t="s">
        <v>7</v>
      </c>
      <c r="AA2" s="1" t="s">
        <v>6</v>
      </c>
      <c r="AC2" s="5" t="str">
        <f t="shared" ref="AC2:AC65" si="8">UPPER(AE2)</f>
        <v>ANGELICA TAYLOR</v>
      </c>
      <c r="AE2" s="4" t="s">
        <v>5</v>
      </c>
    </row>
    <row r="3" spans="2:31" x14ac:dyDescent="0.25">
      <c r="B3" s="6">
        <v>2</v>
      </c>
      <c r="C3" s="3" t="s">
        <v>11</v>
      </c>
      <c r="D3" s="4" t="str">
        <f t="shared" si="0"/>
        <v>MARY WILLIAMS</v>
      </c>
      <c r="E3" s="6" t="str">
        <f t="shared" si="1"/>
        <v>FEMALE</v>
      </c>
      <c r="F3" s="6" t="str">
        <f t="shared" si="2"/>
        <v>BEVERAGES</v>
      </c>
      <c r="G3" s="6" t="str">
        <f t="shared" si="3"/>
        <v>FANTA</v>
      </c>
      <c r="H3" s="8">
        <v>5</v>
      </c>
      <c r="I3" s="8">
        <v>983</v>
      </c>
      <c r="J3" s="8">
        <f t="shared" si="4"/>
        <v>4915</v>
      </c>
      <c r="K3" s="6" t="s">
        <v>15</v>
      </c>
      <c r="L3" s="9">
        <v>45821</v>
      </c>
      <c r="M3" s="1" t="str">
        <f t="shared" si="5"/>
        <v>BENIN CITY</v>
      </c>
      <c r="Q3" s="1" t="s">
        <v>16</v>
      </c>
      <c r="S3" s="1" t="str">
        <f t="shared" si="6"/>
        <v>Fanta</v>
      </c>
      <c r="U3" s="1" t="s">
        <v>14</v>
      </c>
      <c r="W3" s="1" t="str">
        <f t="shared" si="7"/>
        <v>Beverages</v>
      </c>
      <c r="Y3" s="16" t="s">
        <v>13</v>
      </c>
      <c r="AA3" s="1" t="s">
        <v>6</v>
      </c>
      <c r="AC3" s="5" t="str">
        <f t="shared" si="8"/>
        <v>MARY WILLIAMS</v>
      </c>
      <c r="AE3" s="4" t="s">
        <v>12</v>
      </c>
    </row>
    <row r="4" spans="2:31" x14ac:dyDescent="0.25">
      <c r="B4" s="6">
        <v>3</v>
      </c>
      <c r="C4" s="3" t="s">
        <v>17</v>
      </c>
      <c r="D4" s="4" t="str">
        <f t="shared" si="0"/>
        <v>GEORGE KING</v>
      </c>
      <c r="E4" s="6" t="str">
        <f t="shared" si="1"/>
        <v>MALE</v>
      </c>
      <c r="F4" s="6" t="str">
        <f t="shared" si="2"/>
        <v>SNACKS</v>
      </c>
      <c r="G4" s="6" t="str">
        <f t="shared" si="3"/>
        <v>BISCUITS</v>
      </c>
      <c r="H4" s="8">
        <v>10</v>
      </c>
      <c r="I4" s="8" t="s">
        <v>532</v>
      </c>
      <c r="J4" s="8">
        <f t="shared" si="4"/>
        <v>2900</v>
      </c>
      <c r="K4" s="6" t="s">
        <v>20</v>
      </c>
      <c r="L4" s="9">
        <v>45825</v>
      </c>
      <c r="M4" s="1" t="str">
        <f t="shared" si="5"/>
        <v xml:space="preserve">LAGOS </v>
      </c>
      <c r="N4" s="7"/>
      <c r="Q4" s="1" t="s">
        <v>21</v>
      </c>
      <c r="S4" s="1" t="str">
        <f t="shared" si="6"/>
        <v>Biscuits</v>
      </c>
      <c r="U4" s="1" t="s">
        <v>8</v>
      </c>
      <c r="W4" s="1" t="str">
        <f t="shared" si="7"/>
        <v>Snacks</v>
      </c>
      <c r="Y4" s="16" t="s">
        <v>7</v>
      </c>
      <c r="AA4" s="1" t="s">
        <v>19</v>
      </c>
      <c r="AC4" s="5" t="str">
        <f t="shared" si="8"/>
        <v>GEORGE KING</v>
      </c>
      <c r="AE4" s="4" t="s">
        <v>18</v>
      </c>
    </row>
    <row r="5" spans="2:31" x14ac:dyDescent="0.25">
      <c r="B5" s="6">
        <v>4</v>
      </c>
      <c r="C5" s="3" t="s">
        <v>22</v>
      </c>
      <c r="D5" s="4" t="str">
        <f t="shared" si="0"/>
        <v>ANGELICA MORRISON</v>
      </c>
      <c r="E5" s="6" t="str">
        <f t="shared" si="1"/>
        <v>FEMALE</v>
      </c>
      <c r="F5" s="6" t="str">
        <f t="shared" si="2"/>
        <v>HOUSEHOLD</v>
      </c>
      <c r="G5" s="6" t="str">
        <f t="shared" si="3"/>
        <v>TOILET PAPER</v>
      </c>
      <c r="H5" s="8">
        <v>7</v>
      </c>
      <c r="I5" s="8">
        <v>407</v>
      </c>
      <c r="J5" s="8">
        <f t="shared" si="4"/>
        <v>2849</v>
      </c>
      <c r="K5" s="6" t="s">
        <v>20</v>
      </c>
      <c r="L5" s="9">
        <v>45836</v>
      </c>
      <c r="M5" s="1" t="str">
        <f t="shared" si="5"/>
        <v>IBADAN</v>
      </c>
      <c r="Q5" s="1" t="s">
        <v>25</v>
      </c>
      <c r="S5" s="1" t="str">
        <f t="shared" si="6"/>
        <v>toilet paper</v>
      </c>
      <c r="U5" s="10" t="s">
        <v>546</v>
      </c>
      <c r="W5" s="1" t="str">
        <f>TRIM(Y5)</f>
        <v>Household</v>
      </c>
      <c r="Y5" s="16" t="s">
        <v>24</v>
      </c>
      <c r="AA5" s="1" t="s">
        <v>6</v>
      </c>
      <c r="AC5" s="5" t="str">
        <f t="shared" si="8"/>
        <v>ANGELICA MORRISON</v>
      </c>
      <c r="AE5" s="4" t="s">
        <v>23</v>
      </c>
    </row>
    <row r="6" spans="2:31" x14ac:dyDescent="0.25">
      <c r="B6" s="6">
        <v>5</v>
      </c>
      <c r="C6" s="3" t="s">
        <v>26</v>
      </c>
      <c r="D6" s="4" t="str">
        <f t="shared" si="0"/>
        <v>MADISON WERNER</v>
      </c>
      <c r="E6" s="6" t="str">
        <f t="shared" si="1"/>
        <v>FEMALE</v>
      </c>
      <c r="F6" s="6" t="str">
        <f t="shared" si="2"/>
        <v>HOUSEHOLD</v>
      </c>
      <c r="G6" s="6" t="str">
        <f t="shared" si="3"/>
        <v>TOILET PAPER</v>
      </c>
      <c r="H6" s="8">
        <v>6</v>
      </c>
      <c r="I6" s="8">
        <v>160</v>
      </c>
      <c r="J6" s="8">
        <f t="shared" si="4"/>
        <v>960</v>
      </c>
      <c r="K6" s="6" t="s">
        <v>9</v>
      </c>
      <c r="L6" s="9">
        <v>45820</v>
      </c>
      <c r="M6" s="1" t="str">
        <f t="shared" si="5"/>
        <v>LAGOS</v>
      </c>
      <c r="Q6" s="1" t="s">
        <v>29</v>
      </c>
      <c r="S6" s="1" t="str">
        <f t="shared" si="6"/>
        <v>Toilet Paper</v>
      </c>
      <c r="U6" s="1" t="s">
        <v>28</v>
      </c>
      <c r="W6" s="1" t="str">
        <f t="shared" si="7"/>
        <v>Household</v>
      </c>
      <c r="Y6" s="16" t="s">
        <v>24</v>
      </c>
      <c r="AA6" s="1" t="s">
        <v>6</v>
      </c>
      <c r="AC6" s="5" t="str">
        <f t="shared" si="8"/>
        <v>MADISON WERNER</v>
      </c>
      <c r="AE6" s="4" t="s">
        <v>27</v>
      </c>
    </row>
    <row r="7" spans="2:31" x14ac:dyDescent="0.25">
      <c r="B7" s="6">
        <v>6</v>
      </c>
      <c r="C7" s="3" t="s">
        <v>30</v>
      </c>
      <c r="D7" s="4" t="str">
        <f t="shared" si="0"/>
        <v>CAROL WASHINGTON</v>
      </c>
      <c r="E7" s="6" t="str">
        <f t="shared" si="1"/>
        <v>MALE</v>
      </c>
      <c r="F7" s="6" t="str">
        <f t="shared" si="2"/>
        <v>HOUSEHOLD</v>
      </c>
      <c r="G7" s="6" t="str">
        <f t="shared" si="3"/>
        <v>SOAP</v>
      </c>
      <c r="H7" s="8">
        <v>1</v>
      </c>
      <c r="I7" s="8">
        <v>402</v>
      </c>
      <c r="J7" s="8">
        <f t="shared" si="4"/>
        <v>402</v>
      </c>
      <c r="K7" s="6" t="s">
        <v>20</v>
      </c>
      <c r="L7" s="9">
        <v>45828</v>
      </c>
      <c r="M7" s="1" t="str">
        <f t="shared" si="5"/>
        <v>PORT HARCOURT</v>
      </c>
      <c r="Q7" s="1" t="s">
        <v>10</v>
      </c>
      <c r="S7" s="1" t="str">
        <f t="shared" si="6"/>
        <v>Soap</v>
      </c>
      <c r="U7" s="1" t="s">
        <v>32</v>
      </c>
      <c r="W7" s="1" t="str">
        <f t="shared" si="7"/>
        <v>Household</v>
      </c>
      <c r="Y7" s="16" t="s">
        <v>24</v>
      </c>
      <c r="AA7" s="1" t="s">
        <v>19</v>
      </c>
      <c r="AC7" s="5" t="str">
        <f t="shared" si="8"/>
        <v>CAROL WASHINGTON</v>
      </c>
      <c r="AE7" s="4" t="s">
        <v>31</v>
      </c>
    </row>
    <row r="8" spans="2:31" x14ac:dyDescent="0.25">
      <c r="B8" s="6">
        <v>7</v>
      </c>
      <c r="C8" s="3" t="s">
        <v>33</v>
      </c>
      <c r="D8" s="4" t="str">
        <f t="shared" si="0"/>
        <v>DUSTIN COOPER</v>
      </c>
      <c r="E8" s="6" t="str">
        <f t="shared" si="1"/>
        <v>FEMALE</v>
      </c>
      <c r="F8" s="6" t="str">
        <f t="shared" si="2"/>
        <v>BEVERAGES</v>
      </c>
      <c r="G8" s="6" t="str">
        <f t="shared" si="3"/>
        <v>COKE</v>
      </c>
      <c r="H8" s="8">
        <v>10</v>
      </c>
      <c r="I8" s="8">
        <v>763</v>
      </c>
      <c r="J8" s="15">
        <f t="shared" si="4"/>
        <v>7630</v>
      </c>
      <c r="K8" s="6" t="s">
        <v>20</v>
      </c>
      <c r="L8" s="9">
        <v>45816</v>
      </c>
      <c r="M8" s="1" t="str">
        <f t="shared" si="5"/>
        <v>IBADAN</v>
      </c>
      <c r="Q8" s="1" t="s">
        <v>25</v>
      </c>
      <c r="S8" s="1" t="str">
        <f t="shared" si="6"/>
        <v>Coke</v>
      </c>
      <c r="U8" s="1" t="s">
        <v>35</v>
      </c>
      <c r="W8" s="1" t="str">
        <f t="shared" si="7"/>
        <v>Beverages</v>
      </c>
      <c r="Y8" s="16" t="s">
        <v>13</v>
      </c>
      <c r="AA8" s="1" t="s">
        <v>6</v>
      </c>
      <c r="AC8" s="5" t="str">
        <f t="shared" si="8"/>
        <v>DUSTIN COOPER</v>
      </c>
      <c r="AE8" s="4" t="s">
        <v>34</v>
      </c>
    </row>
    <row r="9" spans="2:31" x14ac:dyDescent="0.25">
      <c r="B9" s="6">
        <v>8</v>
      </c>
      <c r="C9" s="3" t="s">
        <v>36</v>
      </c>
      <c r="D9" s="4" t="str">
        <f t="shared" si="0"/>
        <v>VERONICA LLOYD</v>
      </c>
      <c r="E9" s="6" t="str">
        <f t="shared" si="1"/>
        <v>FEMALE</v>
      </c>
      <c r="F9" s="6" t="str">
        <f t="shared" si="2"/>
        <v>PERSONAL CARE</v>
      </c>
      <c r="G9" s="6" t="str">
        <f t="shared" si="3"/>
        <v>SHAMPOO</v>
      </c>
      <c r="H9" s="8">
        <v>3</v>
      </c>
      <c r="I9" s="8">
        <v>392</v>
      </c>
      <c r="J9" s="8">
        <f t="shared" si="4"/>
        <v>1176</v>
      </c>
      <c r="K9" s="6" t="s">
        <v>15</v>
      </c>
      <c r="L9" s="9">
        <v>45822</v>
      </c>
      <c r="M9" s="1" t="str">
        <f t="shared" si="5"/>
        <v>IBADAN</v>
      </c>
      <c r="Q9" s="1" t="s">
        <v>25</v>
      </c>
      <c r="S9" s="1" t="str">
        <f t="shared" si="6"/>
        <v>Shampoo</v>
      </c>
      <c r="U9" s="1" t="s">
        <v>38</v>
      </c>
      <c r="W9" s="1" t="str">
        <f t="shared" si="7"/>
        <v>Personal Care</v>
      </c>
      <c r="Y9" s="16" t="s">
        <v>555</v>
      </c>
      <c r="AA9" s="1" t="s">
        <v>6</v>
      </c>
      <c r="AC9" s="5" t="str">
        <f t="shared" si="8"/>
        <v>VERONICA LLOYD</v>
      </c>
      <c r="AE9" s="4" t="s">
        <v>37</v>
      </c>
    </row>
    <row r="10" spans="2:31" x14ac:dyDescent="0.25">
      <c r="B10" s="6">
        <v>9</v>
      </c>
      <c r="C10" s="3" t="s">
        <v>39</v>
      </c>
      <c r="D10" s="4" t="str">
        <f t="shared" si="0"/>
        <v>GREGORY LONG</v>
      </c>
      <c r="E10" s="6" t="str">
        <f t="shared" si="1"/>
        <v>FEMALE</v>
      </c>
      <c r="F10" s="6" t="str">
        <f t="shared" si="2"/>
        <v>SNACKS</v>
      </c>
      <c r="G10" s="6" t="str">
        <f t="shared" si="3"/>
        <v>CHIN CHIN</v>
      </c>
      <c r="H10" s="8">
        <v>7</v>
      </c>
      <c r="I10" s="8">
        <v>944</v>
      </c>
      <c r="J10" s="8">
        <f t="shared" si="4"/>
        <v>6608</v>
      </c>
      <c r="K10" s="6" t="s">
        <v>42</v>
      </c>
      <c r="L10" s="9">
        <v>45834</v>
      </c>
      <c r="M10" s="1" t="str">
        <f t="shared" si="5"/>
        <v>PORT HARCOURT</v>
      </c>
      <c r="Q10" s="1" t="s">
        <v>10</v>
      </c>
      <c r="S10" s="1" t="str">
        <f t="shared" si="6"/>
        <v>Chin Chin</v>
      </c>
      <c r="U10" s="1" t="s">
        <v>41</v>
      </c>
      <c r="W10" s="1" t="str">
        <f t="shared" si="7"/>
        <v>Snacks</v>
      </c>
      <c r="Y10" s="16" t="s">
        <v>7</v>
      </c>
      <c r="AA10" s="1" t="s">
        <v>6</v>
      </c>
      <c r="AC10" s="5" t="str">
        <f t="shared" si="8"/>
        <v>GREGORY LONG</v>
      </c>
      <c r="AE10" s="4" t="s">
        <v>40</v>
      </c>
    </row>
    <row r="11" spans="2:31" x14ac:dyDescent="0.25">
      <c r="B11" s="6">
        <v>10</v>
      </c>
      <c r="C11" s="3" t="s">
        <v>43</v>
      </c>
      <c r="D11" s="4" t="str">
        <f t="shared" si="0"/>
        <v>AMY ORTIZ</v>
      </c>
      <c r="E11" s="6" t="str">
        <f t="shared" si="1"/>
        <v>FEMALE</v>
      </c>
      <c r="F11" s="6" t="str">
        <f t="shared" si="2"/>
        <v>BEVERAGES</v>
      </c>
      <c r="G11" s="6" t="str">
        <f t="shared" si="3"/>
        <v>FANTA</v>
      </c>
      <c r="H11" s="8">
        <v>5</v>
      </c>
      <c r="I11" s="8">
        <v>593</v>
      </c>
      <c r="J11" s="8">
        <f t="shared" si="4"/>
        <v>2965</v>
      </c>
      <c r="K11" s="6" t="s">
        <v>20</v>
      </c>
      <c r="L11" s="9">
        <v>45830</v>
      </c>
      <c r="M11" s="1" t="str">
        <f t="shared" si="5"/>
        <v>LAGOS</v>
      </c>
      <c r="Q11" s="1" t="s">
        <v>29</v>
      </c>
      <c r="S11" s="1" t="str">
        <f t="shared" si="6"/>
        <v>Fanta</v>
      </c>
      <c r="U11" s="1" t="s">
        <v>14</v>
      </c>
      <c r="W11" s="1" t="str">
        <f t="shared" si="7"/>
        <v>Beverages</v>
      </c>
      <c r="Y11" s="16" t="s">
        <v>13</v>
      </c>
      <c r="AA11" s="1" t="s">
        <v>6</v>
      </c>
      <c r="AC11" s="5" t="str">
        <f t="shared" si="8"/>
        <v>AMY ORTIZ</v>
      </c>
      <c r="AE11" s="4" t="s">
        <v>44</v>
      </c>
    </row>
    <row r="12" spans="2:31" x14ac:dyDescent="0.25">
      <c r="B12" s="6">
        <v>11</v>
      </c>
      <c r="C12" s="3" t="s">
        <v>45</v>
      </c>
      <c r="D12" s="4" t="str">
        <f t="shared" si="0"/>
        <v>SHARON HARTMAN</v>
      </c>
      <c r="E12" s="6" t="str">
        <f t="shared" si="1"/>
        <v>MALE</v>
      </c>
      <c r="F12" s="6" t="str">
        <f t="shared" si="2"/>
        <v>HOUSEHOLD</v>
      </c>
      <c r="G12" s="6" t="str">
        <f t="shared" si="3"/>
        <v>SOAP</v>
      </c>
      <c r="H12" s="8">
        <v>5</v>
      </c>
      <c r="I12" s="8">
        <v>825</v>
      </c>
      <c r="J12" s="8">
        <f t="shared" si="4"/>
        <v>4125</v>
      </c>
      <c r="K12" s="6" t="s">
        <v>42</v>
      </c>
      <c r="L12" s="9">
        <v>45838</v>
      </c>
      <c r="M12" s="1" t="str">
        <f t="shared" si="5"/>
        <v>BENIN CITY</v>
      </c>
      <c r="Q12" s="1" t="s">
        <v>16</v>
      </c>
      <c r="S12" s="1" t="str">
        <f t="shared" si="6"/>
        <v>Soap</v>
      </c>
      <c r="U12" s="1" t="s">
        <v>32</v>
      </c>
      <c r="W12" s="1" t="str">
        <f t="shared" si="7"/>
        <v>Household</v>
      </c>
      <c r="Y12" s="16" t="s">
        <v>24</v>
      </c>
      <c r="AA12" s="1" t="s">
        <v>19</v>
      </c>
      <c r="AC12" s="5" t="str">
        <f t="shared" si="8"/>
        <v>SHARON HARTMAN</v>
      </c>
      <c r="AE12" s="4" t="s">
        <v>46</v>
      </c>
    </row>
    <row r="13" spans="2:31" x14ac:dyDescent="0.25">
      <c r="B13" s="6">
        <v>12</v>
      </c>
      <c r="C13" s="3" t="s">
        <v>47</v>
      </c>
      <c r="D13" s="4" t="str">
        <f t="shared" si="0"/>
        <v>MARY LAWSON</v>
      </c>
      <c r="E13" s="6" t="str">
        <f t="shared" si="1"/>
        <v>MALE</v>
      </c>
      <c r="F13" s="6" t="str">
        <f t="shared" si="2"/>
        <v>PERSONAL CARE</v>
      </c>
      <c r="G13" s="6" t="str">
        <f t="shared" si="3"/>
        <v>LOTION</v>
      </c>
      <c r="H13" s="8">
        <v>3</v>
      </c>
      <c r="I13" s="8">
        <v>122</v>
      </c>
      <c r="J13" s="8">
        <f t="shared" si="4"/>
        <v>366</v>
      </c>
      <c r="K13" s="6" t="s">
        <v>15</v>
      </c>
      <c r="L13" s="9">
        <v>45820</v>
      </c>
      <c r="M13" s="1" t="str">
        <f t="shared" si="5"/>
        <v>BENIN CITY</v>
      </c>
      <c r="N13" s="7"/>
      <c r="Q13" s="1" t="s">
        <v>16</v>
      </c>
      <c r="S13" s="1" t="str">
        <f t="shared" si="6"/>
        <v>Lotion</v>
      </c>
      <c r="U13" s="1" t="s">
        <v>49</v>
      </c>
      <c r="W13" s="1" t="str">
        <f t="shared" si="7"/>
        <v>Personal Care</v>
      </c>
      <c r="Y13" s="16" t="s">
        <v>555</v>
      </c>
      <c r="AA13" s="1" t="s">
        <v>19</v>
      </c>
      <c r="AC13" s="5" t="str">
        <f t="shared" si="8"/>
        <v>MARY LAWSON</v>
      </c>
      <c r="AE13" s="4" t="s">
        <v>48</v>
      </c>
    </row>
    <row r="14" spans="2:31" x14ac:dyDescent="0.25">
      <c r="B14" s="6">
        <v>13</v>
      </c>
      <c r="C14" s="3" t="s">
        <v>50</v>
      </c>
      <c r="D14" s="4" t="str">
        <f t="shared" si="0"/>
        <v>CINDY ORTIZ</v>
      </c>
      <c r="E14" s="6" t="str">
        <f t="shared" si="1"/>
        <v>MALE</v>
      </c>
      <c r="F14" s="6" t="str">
        <f t="shared" si="2"/>
        <v>BEVERAGES</v>
      </c>
      <c r="G14" s="6" t="str">
        <f t="shared" si="3"/>
        <v>COKE</v>
      </c>
      <c r="H14" s="8">
        <v>8</v>
      </c>
      <c r="I14" s="8">
        <v>320</v>
      </c>
      <c r="J14" s="15">
        <f t="shared" si="4"/>
        <v>2560</v>
      </c>
      <c r="K14" s="6" t="s">
        <v>20</v>
      </c>
      <c r="L14" s="9">
        <v>45837</v>
      </c>
      <c r="M14" s="1" t="str">
        <f t="shared" si="5"/>
        <v>PORT HARCOURT</v>
      </c>
      <c r="Q14" s="1" t="s">
        <v>10</v>
      </c>
      <c r="S14" s="1" t="str">
        <f t="shared" si="6"/>
        <v>Coke</v>
      </c>
      <c r="U14" s="1" t="s">
        <v>35</v>
      </c>
      <c r="W14" s="1" t="str">
        <f t="shared" si="7"/>
        <v>Beverages</v>
      </c>
      <c r="Y14" s="16" t="s">
        <v>13</v>
      </c>
      <c r="AA14" s="1" t="s">
        <v>19</v>
      </c>
      <c r="AC14" s="5" t="str">
        <f t="shared" si="8"/>
        <v>CINDY ORTIZ</v>
      </c>
      <c r="AE14" s="4" t="s">
        <v>51</v>
      </c>
    </row>
    <row r="15" spans="2:31" x14ac:dyDescent="0.25">
      <c r="B15" s="6">
        <v>14</v>
      </c>
      <c r="C15" s="3" t="s">
        <v>52</v>
      </c>
      <c r="D15" s="4" t="str">
        <f t="shared" si="0"/>
        <v>SARAH HALL</v>
      </c>
      <c r="E15" s="6" t="str">
        <f t="shared" si="1"/>
        <v>MALE</v>
      </c>
      <c r="F15" s="6" t="str">
        <f t="shared" si="2"/>
        <v>SNACKS</v>
      </c>
      <c r="G15" s="6" t="str">
        <f t="shared" si="3"/>
        <v>CHIN CHIN</v>
      </c>
      <c r="H15" s="8">
        <v>4</v>
      </c>
      <c r="I15" s="8">
        <v>949</v>
      </c>
      <c r="J15" s="8">
        <f t="shared" si="4"/>
        <v>3796</v>
      </c>
      <c r="K15" s="6" t="s">
        <v>15</v>
      </c>
      <c r="L15" s="9">
        <v>45840</v>
      </c>
      <c r="M15" s="1" t="str">
        <f t="shared" si="5"/>
        <v>PORT HARCOURT</v>
      </c>
      <c r="Q15" s="1" t="s">
        <v>10</v>
      </c>
      <c r="S15" s="1" t="str">
        <f t="shared" si="6"/>
        <v>Chin Chin</v>
      </c>
      <c r="U15" s="1" t="s">
        <v>41</v>
      </c>
      <c r="W15" s="1" t="str">
        <f t="shared" si="7"/>
        <v>Snacks</v>
      </c>
      <c r="Y15" s="16" t="s">
        <v>7</v>
      </c>
      <c r="AA15" s="1" t="s">
        <v>19</v>
      </c>
      <c r="AC15" s="5" t="str">
        <f t="shared" si="8"/>
        <v>SARAH HALL</v>
      </c>
      <c r="AE15" s="4" t="s">
        <v>53</v>
      </c>
    </row>
    <row r="16" spans="2:31" x14ac:dyDescent="0.25">
      <c r="B16" s="6">
        <v>15</v>
      </c>
      <c r="C16" s="3" t="s">
        <v>54</v>
      </c>
      <c r="D16" s="4" t="str">
        <f t="shared" si="0"/>
        <v>AMBER MORRISON</v>
      </c>
      <c r="E16" s="6" t="str">
        <f t="shared" si="1"/>
        <v>MALE</v>
      </c>
      <c r="F16" s="6" t="str">
        <f t="shared" si="2"/>
        <v>HOUSEHOLD</v>
      </c>
      <c r="G16" s="6" t="str">
        <f t="shared" si="3"/>
        <v>AIR FRESHENER</v>
      </c>
      <c r="H16" s="8">
        <v>3</v>
      </c>
      <c r="I16" s="8">
        <v>698</v>
      </c>
      <c r="J16" s="8">
        <f t="shared" si="4"/>
        <v>2094</v>
      </c>
      <c r="K16" s="6" t="s">
        <v>15</v>
      </c>
      <c r="L16" s="9">
        <v>45835</v>
      </c>
      <c r="M16" s="1" t="str">
        <f t="shared" si="5"/>
        <v>PORT HARCOURT</v>
      </c>
      <c r="Q16" s="1" t="s">
        <v>10</v>
      </c>
      <c r="S16" s="1" t="str">
        <f t="shared" si="6"/>
        <v>Air Freshener</v>
      </c>
      <c r="U16" s="1" t="s">
        <v>55</v>
      </c>
      <c r="W16" s="1" t="str">
        <f>TRIM(Y16)</f>
        <v>Household</v>
      </c>
      <c r="Y16" s="16" t="s">
        <v>24</v>
      </c>
      <c r="AA16" s="1" t="s">
        <v>19</v>
      </c>
      <c r="AC16" s="5" t="str">
        <f t="shared" si="8"/>
        <v xml:space="preserve"> AMBER MORRISON  </v>
      </c>
      <c r="AE16" s="4" t="s">
        <v>530</v>
      </c>
    </row>
    <row r="17" spans="2:31" x14ac:dyDescent="0.25">
      <c r="B17" s="6">
        <v>16</v>
      </c>
      <c r="C17" s="3" t="s">
        <v>56</v>
      </c>
      <c r="D17" s="4" t="str">
        <f t="shared" si="0"/>
        <v>MARCUS REED</v>
      </c>
      <c r="E17" s="6" t="str">
        <f t="shared" si="1"/>
        <v>MALE</v>
      </c>
      <c r="F17" s="6" t="str">
        <f t="shared" si="2"/>
        <v>PERSONAL CARE</v>
      </c>
      <c r="G17" s="6" t="str">
        <f t="shared" si="3"/>
        <v>SHAMPOO</v>
      </c>
      <c r="H17" s="8">
        <v>10</v>
      </c>
      <c r="I17" s="8">
        <v>343</v>
      </c>
      <c r="J17" s="8">
        <f t="shared" si="4"/>
        <v>3430</v>
      </c>
      <c r="K17" s="6" t="s">
        <v>42</v>
      </c>
      <c r="L17" s="9">
        <v>45836</v>
      </c>
      <c r="M17" s="1" t="str">
        <f t="shared" si="5"/>
        <v>ABUJA</v>
      </c>
      <c r="Q17" s="1" t="s">
        <v>58</v>
      </c>
      <c r="S17" s="1" t="str">
        <f t="shared" si="6"/>
        <v>Shampoo</v>
      </c>
      <c r="U17" s="1" t="s">
        <v>38</v>
      </c>
      <c r="W17" s="1" t="str">
        <f t="shared" si="7"/>
        <v>Personal Care</v>
      </c>
      <c r="Y17" s="16" t="s">
        <v>555</v>
      </c>
      <c r="AA17" s="1" t="s">
        <v>19</v>
      </c>
      <c r="AC17" s="5" t="str">
        <f t="shared" si="8"/>
        <v>MARCUS REED</v>
      </c>
      <c r="AE17" s="4" t="s">
        <v>57</v>
      </c>
    </row>
    <row r="18" spans="2:31" x14ac:dyDescent="0.25">
      <c r="B18" s="6">
        <v>17</v>
      </c>
      <c r="C18" s="3" t="s">
        <v>59</v>
      </c>
      <c r="D18" s="4" t="str">
        <f t="shared" si="0"/>
        <v>NICOLE SHELTON</v>
      </c>
      <c r="E18" s="6" t="str">
        <f t="shared" si="1"/>
        <v>MALE</v>
      </c>
      <c r="F18" s="6" t="str">
        <f t="shared" si="2"/>
        <v>BEVERAGES</v>
      </c>
      <c r="G18" s="6" t="str">
        <f t="shared" si="3"/>
        <v>COKE</v>
      </c>
      <c r="H18" s="8">
        <v>5</v>
      </c>
      <c r="I18" s="8">
        <v>583</v>
      </c>
      <c r="J18" s="15">
        <f t="shared" si="4"/>
        <v>2915</v>
      </c>
      <c r="K18" s="6" t="s">
        <v>15</v>
      </c>
      <c r="L18" s="9">
        <v>45826</v>
      </c>
      <c r="M18" s="1" t="str">
        <f t="shared" si="5"/>
        <v>PORT HARCOURT</v>
      </c>
      <c r="Q18" s="1" t="s">
        <v>10</v>
      </c>
      <c r="S18" s="1" t="str">
        <f t="shared" si="6"/>
        <v>Coke</v>
      </c>
      <c r="U18" s="1" t="s">
        <v>35</v>
      </c>
      <c r="W18" s="1" t="str">
        <f t="shared" si="7"/>
        <v>Beverages</v>
      </c>
      <c r="Y18" s="16" t="s">
        <v>13</v>
      </c>
      <c r="AA18" s="1" t="s">
        <v>19</v>
      </c>
      <c r="AC18" s="5" t="str">
        <f t="shared" si="8"/>
        <v>NICOLE SHELTON</v>
      </c>
      <c r="AE18" s="4" t="s">
        <v>60</v>
      </c>
    </row>
    <row r="19" spans="2:31" x14ac:dyDescent="0.25">
      <c r="B19" s="6">
        <v>18</v>
      </c>
      <c r="C19" s="3" t="s">
        <v>61</v>
      </c>
      <c r="D19" s="4" t="str">
        <f t="shared" si="0"/>
        <v>JAMES DANIEL</v>
      </c>
      <c r="E19" s="6" t="str">
        <f t="shared" si="1"/>
        <v>MALE</v>
      </c>
      <c r="F19" s="6" t="str">
        <f t="shared" si="2"/>
        <v>HOUSEHOLD</v>
      </c>
      <c r="G19" s="6" t="str">
        <f t="shared" si="3"/>
        <v>DETERGENT</v>
      </c>
      <c r="H19" s="8">
        <v>2</v>
      </c>
      <c r="I19" s="8">
        <v>1000</v>
      </c>
      <c r="J19" s="8">
        <f t="shared" si="4"/>
        <v>2000</v>
      </c>
      <c r="K19" s="6" t="s">
        <v>42</v>
      </c>
      <c r="L19" s="9">
        <v>45836</v>
      </c>
      <c r="M19" s="1" t="str">
        <f t="shared" si="5"/>
        <v>ABUJA</v>
      </c>
      <c r="Q19" s="1" t="s">
        <v>58</v>
      </c>
      <c r="S19" s="1" t="str">
        <f t="shared" si="6"/>
        <v>Detergent</v>
      </c>
      <c r="U19" s="1" t="s">
        <v>63</v>
      </c>
      <c r="W19" s="1" t="str">
        <f t="shared" si="7"/>
        <v>Household</v>
      </c>
      <c r="Y19" s="16" t="s">
        <v>24</v>
      </c>
      <c r="AA19" s="1" t="s">
        <v>19</v>
      </c>
      <c r="AC19" s="5" t="str">
        <f t="shared" si="8"/>
        <v>JAMES DANIEL</v>
      </c>
      <c r="AE19" s="4" t="s">
        <v>62</v>
      </c>
    </row>
    <row r="20" spans="2:31" x14ac:dyDescent="0.25">
      <c r="B20" s="6">
        <v>19</v>
      </c>
      <c r="C20" s="3" t="s">
        <v>64</v>
      </c>
      <c r="D20" s="4" t="str">
        <f t="shared" si="0"/>
        <v>CHRISTY HARRIS</v>
      </c>
      <c r="E20" s="6" t="str">
        <f t="shared" si="1"/>
        <v>MALE</v>
      </c>
      <c r="F20" s="6" t="str">
        <f t="shared" si="2"/>
        <v>BEVERAGES</v>
      </c>
      <c r="G20" s="6" t="str">
        <f t="shared" si="3"/>
        <v>FANTA</v>
      </c>
      <c r="H20" s="8">
        <v>10</v>
      </c>
      <c r="I20" s="8">
        <v>365</v>
      </c>
      <c r="J20" s="8">
        <f t="shared" si="4"/>
        <v>3650</v>
      </c>
      <c r="K20" s="6" t="s">
        <v>9</v>
      </c>
      <c r="L20" s="9">
        <v>45814</v>
      </c>
      <c r="M20" s="1" t="str">
        <f t="shared" si="5"/>
        <v>IBADAN</v>
      </c>
      <c r="Q20" s="1" t="s">
        <v>25</v>
      </c>
      <c r="S20" s="1" t="str">
        <f t="shared" si="6"/>
        <v>Fanta</v>
      </c>
      <c r="U20" s="1" t="s">
        <v>14</v>
      </c>
      <c r="W20" s="1" t="str">
        <f t="shared" si="7"/>
        <v>Beverages</v>
      </c>
      <c r="Y20" s="16" t="s">
        <v>13</v>
      </c>
      <c r="AA20" s="1" t="s">
        <v>19</v>
      </c>
      <c r="AC20" s="5" t="str">
        <f t="shared" si="8"/>
        <v>CHRISTY HARRIS</v>
      </c>
      <c r="AE20" s="4" t="s">
        <v>65</v>
      </c>
    </row>
    <row r="21" spans="2:31" x14ac:dyDescent="0.25">
      <c r="B21" s="6">
        <v>20</v>
      </c>
      <c r="C21" s="3" t="s">
        <v>66</v>
      </c>
      <c r="D21" s="4" t="str">
        <f t="shared" si="0"/>
        <v>DONNA WOODS</v>
      </c>
      <c r="E21" s="6" t="str">
        <f t="shared" si="1"/>
        <v>MALE</v>
      </c>
      <c r="F21" s="6" t="str">
        <f t="shared" si="2"/>
        <v>BEVERAGES</v>
      </c>
      <c r="G21" s="6" t="str">
        <f t="shared" si="3"/>
        <v>JUICE</v>
      </c>
      <c r="H21" s="8">
        <v>10</v>
      </c>
      <c r="I21" s="8">
        <v>256</v>
      </c>
      <c r="J21" s="8">
        <f t="shared" si="4"/>
        <v>2560</v>
      </c>
      <c r="K21" s="6" t="s">
        <v>15</v>
      </c>
      <c r="L21" s="9">
        <v>45834</v>
      </c>
      <c r="M21" s="1" t="str">
        <f t="shared" si="5"/>
        <v>IBADAN</v>
      </c>
      <c r="Q21" s="1" t="s">
        <v>25</v>
      </c>
      <c r="S21" s="1" t="str">
        <f t="shared" si="6"/>
        <v>Juice</v>
      </c>
      <c r="U21" s="1" t="s">
        <v>68</v>
      </c>
      <c r="W21" s="1" t="str">
        <f t="shared" si="7"/>
        <v>Beverages</v>
      </c>
      <c r="Y21" s="16" t="s">
        <v>13</v>
      </c>
      <c r="AA21" s="1" t="s">
        <v>19</v>
      </c>
      <c r="AC21" s="5" t="str">
        <f t="shared" si="8"/>
        <v>DONNA WOODS</v>
      </c>
      <c r="AE21" s="4" t="s">
        <v>67</v>
      </c>
    </row>
    <row r="22" spans="2:31" x14ac:dyDescent="0.25">
      <c r="B22" s="6">
        <v>21</v>
      </c>
      <c r="C22" s="3" t="s">
        <v>69</v>
      </c>
      <c r="D22" s="4" t="str">
        <f t="shared" si="0"/>
        <v>RUSSELL PRICE</v>
      </c>
      <c r="E22" s="6" t="str">
        <f t="shared" si="1"/>
        <v>FEMALE</v>
      </c>
      <c r="F22" s="6" t="str">
        <f t="shared" si="2"/>
        <v>SNACKS</v>
      </c>
      <c r="G22" s="6" t="str">
        <f t="shared" si="3"/>
        <v>COOKIES</v>
      </c>
      <c r="H22" s="8">
        <v>1</v>
      </c>
      <c r="I22" s="8">
        <v>479</v>
      </c>
      <c r="J22" s="8">
        <f t="shared" si="4"/>
        <v>479</v>
      </c>
      <c r="K22" s="6" t="s">
        <v>20</v>
      </c>
      <c r="L22" s="9">
        <v>45815</v>
      </c>
      <c r="M22" s="1" t="str">
        <f t="shared" si="5"/>
        <v>KANO</v>
      </c>
      <c r="Q22" s="1" t="s">
        <v>72</v>
      </c>
      <c r="S22" s="1" t="str">
        <f t="shared" si="6"/>
        <v>Cookies</v>
      </c>
      <c r="U22" s="1" t="s">
        <v>71</v>
      </c>
      <c r="W22" s="1" t="str">
        <f t="shared" si="7"/>
        <v>Snacks</v>
      </c>
      <c r="Y22" s="16" t="s">
        <v>7</v>
      </c>
      <c r="AA22" s="1" t="s">
        <v>6</v>
      </c>
      <c r="AC22" s="5" t="str">
        <f t="shared" si="8"/>
        <v>RUSSELL PRICE</v>
      </c>
      <c r="AE22" s="4" t="s">
        <v>70</v>
      </c>
    </row>
    <row r="23" spans="2:31" x14ac:dyDescent="0.25">
      <c r="B23" s="6">
        <v>22</v>
      </c>
      <c r="C23" s="3" t="s">
        <v>73</v>
      </c>
      <c r="D23" s="4" t="str">
        <f t="shared" si="0"/>
        <v>DAVID DRAKE</v>
      </c>
      <c r="E23" s="6" t="str">
        <f t="shared" si="1"/>
        <v>FEMALE</v>
      </c>
      <c r="F23" s="6" t="str">
        <f t="shared" si="2"/>
        <v>PERSONAL CARE</v>
      </c>
      <c r="G23" s="6" t="str">
        <f t="shared" si="3"/>
        <v>SHAMPOO</v>
      </c>
      <c r="H23" s="8">
        <v>4</v>
      </c>
      <c r="I23" s="8">
        <v>97</v>
      </c>
      <c r="J23" s="8">
        <f t="shared" si="4"/>
        <v>388</v>
      </c>
      <c r="K23" s="6" t="s">
        <v>15</v>
      </c>
      <c r="L23" s="9">
        <v>45828</v>
      </c>
      <c r="M23" s="1" t="str">
        <f t="shared" si="5"/>
        <v>KANO</v>
      </c>
      <c r="Q23" s="1" t="s">
        <v>72</v>
      </c>
      <c r="S23" s="1" t="str">
        <f t="shared" si="6"/>
        <v>Shampoo</v>
      </c>
      <c r="U23" s="1" t="s">
        <v>38</v>
      </c>
      <c r="W23" s="1" t="str">
        <f t="shared" si="7"/>
        <v>Personal Care</v>
      </c>
      <c r="Y23" s="16" t="s">
        <v>555</v>
      </c>
      <c r="AA23" s="1" t="s">
        <v>6</v>
      </c>
      <c r="AC23" s="5" t="str">
        <f t="shared" si="8"/>
        <v>DAVID DRAKE</v>
      </c>
      <c r="AE23" s="4" t="s">
        <v>74</v>
      </c>
    </row>
    <row r="24" spans="2:31" x14ac:dyDescent="0.25">
      <c r="B24" s="6">
        <v>23</v>
      </c>
      <c r="C24" s="3" t="s">
        <v>75</v>
      </c>
      <c r="D24" s="4" t="str">
        <f t="shared" si="0"/>
        <v>SARAH RICHARDSON</v>
      </c>
      <c r="E24" s="6" t="str">
        <f t="shared" si="1"/>
        <v>MALE</v>
      </c>
      <c r="F24" s="6" t="str">
        <f t="shared" si="2"/>
        <v>PERSONAL CARE</v>
      </c>
      <c r="G24" s="6" t="str">
        <f t="shared" si="3"/>
        <v>SHAMPOO</v>
      </c>
      <c r="H24" s="8">
        <v>5</v>
      </c>
      <c r="I24" s="8">
        <v>168</v>
      </c>
      <c r="J24" s="8">
        <f t="shared" si="4"/>
        <v>840</v>
      </c>
      <c r="K24" s="6" t="s">
        <v>42</v>
      </c>
      <c r="L24" s="9">
        <v>45827</v>
      </c>
      <c r="M24" s="1" t="str">
        <f t="shared" si="5"/>
        <v>ABUJA</v>
      </c>
      <c r="Q24" s="1" t="s">
        <v>58</v>
      </c>
      <c r="S24" s="1" t="str">
        <f t="shared" si="6"/>
        <v>Shampoo</v>
      </c>
      <c r="U24" s="1" t="s">
        <v>38</v>
      </c>
      <c r="W24" s="1" t="str">
        <f t="shared" si="7"/>
        <v>Personal Care</v>
      </c>
      <c r="Y24" s="16" t="s">
        <v>555</v>
      </c>
      <c r="AA24" s="1" t="s">
        <v>19</v>
      </c>
      <c r="AC24" s="5" t="str">
        <f t="shared" si="8"/>
        <v>SARAH RICHARDSON</v>
      </c>
      <c r="AE24" s="4" t="s">
        <v>76</v>
      </c>
    </row>
    <row r="25" spans="2:31" x14ac:dyDescent="0.25">
      <c r="B25" s="6">
        <v>24</v>
      </c>
      <c r="C25" s="3" t="s">
        <v>77</v>
      </c>
      <c r="D25" s="4" t="str">
        <f t="shared" si="0"/>
        <v>JESSICA HAYES</v>
      </c>
      <c r="E25" s="6" t="str">
        <f t="shared" si="1"/>
        <v>FEMALE</v>
      </c>
      <c r="F25" s="6" t="str">
        <f t="shared" si="2"/>
        <v>BEVERAGES</v>
      </c>
      <c r="G25" s="6" t="str">
        <f t="shared" si="3"/>
        <v>FANTA</v>
      </c>
      <c r="H25" s="8">
        <v>10</v>
      </c>
      <c r="I25" s="8">
        <v>579</v>
      </c>
      <c r="J25" s="8">
        <f t="shared" si="4"/>
        <v>5790</v>
      </c>
      <c r="K25" s="6" t="s">
        <v>42</v>
      </c>
      <c r="L25" s="9">
        <v>45840</v>
      </c>
      <c r="M25" s="1" t="str">
        <f t="shared" si="5"/>
        <v>LAGOS</v>
      </c>
      <c r="Q25" s="1" t="s">
        <v>29</v>
      </c>
      <c r="S25" s="1" t="str">
        <f t="shared" si="6"/>
        <v>Fanta</v>
      </c>
      <c r="U25" s="1" t="s">
        <v>14</v>
      </c>
      <c r="W25" s="1" t="str">
        <f t="shared" si="7"/>
        <v>Beverages</v>
      </c>
      <c r="Y25" s="16" t="s">
        <v>13</v>
      </c>
      <c r="AA25" s="1" t="s">
        <v>6</v>
      </c>
      <c r="AC25" s="5" t="str">
        <f t="shared" si="8"/>
        <v>JESSICA HAYES</v>
      </c>
      <c r="AE25" s="4" t="s">
        <v>78</v>
      </c>
    </row>
    <row r="26" spans="2:31" x14ac:dyDescent="0.25">
      <c r="B26" s="6">
        <v>25</v>
      </c>
      <c r="C26" s="3" t="s">
        <v>79</v>
      </c>
      <c r="D26" s="5" t="s">
        <v>79</v>
      </c>
      <c r="E26" s="6" t="str">
        <f t="shared" si="1"/>
        <v>MALE</v>
      </c>
      <c r="F26" s="6" t="str">
        <f t="shared" si="2"/>
        <v>HOUSEHOLD</v>
      </c>
      <c r="G26" s="6" t="str">
        <f t="shared" si="3"/>
        <v>DETERGENT</v>
      </c>
      <c r="H26" s="8">
        <v>3</v>
      </c>
      <c r="I26" s="8">
        <v>263</v>
      </c>
      <c r="J26" s="8">
        <f t="shared" si="4"/>
        <v>789</v>
      </c>
      <c r="K26" s="6" t="s">
        <v>42</v>
      </c>
      <c r="L26" s="9">
        <v>45840</v>
      </c>
      <c r="M26" s="1" t="str">
        <f t="shared" si="5"/>
        <v>KANO</v>
      </c>
      <c r="Q26" s="1" t="s">
        <v>72</v>
      </c>
      <c r="S26" s="1" t="str">
        <f t="shared" si="6"/>
        <v>Detergent</v>
      </c>
      <c r="U26" s="1" t="s">
        <v>63</v>
      </c>
      <c r="W26" s="1" t="str">
        <f t="shared" si="7"/>
        <v>Household</v>
      </c>
      <c r="Y26" s="16" t="s">
        <v>24</v>
      </c>
      <c r="AA26" s="1" t="s">
        <v>19</v>
      </c>
      <c r="AC26" s="5" t="str">
        <f t="shared" si="8"/>
        <v/>
      </c>
      <c r="AE26" s="1"/>
    </row>
    <row r="27" spans="2:31" x14ac:dyDescent="0.25">
      <c r="B27" s="6">
        <v>26</v>
      </c>
      <c r="C27" s="3" t="s">
        <v>80</v>
      </c>
      <c r="D27" s="4" t="str">
        <f t="shared" ref="D27:D58" si="9">TRIM(AC27)</f>
        <v>DR. ZACHARY ALVAREZ MD</v>
      </c>
      <c r="E27" s="6" t="str">
        <f t="shared" si="1"/>
        <v>FEMALE</v>
      </c>
      <c r="F27" s="6" t="str">
        <f t="shared" si="2"/>
        <v>BEVERAGES</v>
      </c>
      <c r="G27" s="6" t="str">
        <f t="shared" si="3"/>
        <v>PEPSI</v>
      </c>
      <c r="H27" s="8">
        <v>1</v>
      </c>
      <c r="I27" s="8">
        <v>291</v>
      </c>
      <c r="J27" s="8">
        <f t="shared" si="4"/>
        <v>291</v>
      </c>
      <c r="K27" s="6" t="s">
        <v>15</v>
      </c>
      <c r="L27" s="9">
        <v>45830</v>
      </c>
      <c r="M27" s="1" t="str">
        <f t="shared" si="5"/>
        <v>ABUJA</v>
      </c>
      <c r="Q27" s="1" t="s">
        <v>58</v>
      </c>
      <c r="S27" s="1" t="str">
        <f t="shared" si="6"/>
        <v>Pepsi</v>
      </c>
      <c r="U27" s="1" t="s">
        <v>82</v>
      </c>
      <c r="W27" s="1" t="str">
        <f t="shared" si="7"/>
        <v>Beverages</v>
      </c>
      <c r="Y27" s="16" t="s">
        <v>13</v>
      </c>
      <c r="AA27" s="1" t="s">
        <v>6</v>
      </c>
      <c r="AC27" s="5" t="str">
        <f t="shared" si="8"/>
        <v>DR. ZACHARY ALVAREZ MD</v>
      </c>
      <c r="AE27" s="1" t="s">
        <v>81</v>
      </c>
    </row>
    <row r="28" spans="2:31" x14ac:dyDescent="0.25">
      <c r="B28" s="6">
        <v>27</v>
      </c>
      <c r="C28" s="3" t="s">
        <v>83</v>
      </c>
      <c r="D28" s="4" t="str">
        <f t="shared" si="9"/>
        <v>BRANDON BARNETT</v>
      </c>
      <c r="E28" s="6" t="str">
        <f t="shared" si="1"/>
        <v>FEMALE</v>
      </c>
      <c r="F28" s="6" t="str">
        <f t="shared" si="2"/>
        <v>BEVERAGES</v>
      </c>
      <c r="G28" s="6" t="str">
        <f t="shared" si="3"/>
        <v>FANTA</v>
      </c>
      <c r="H28" s="8">
        <v>9</v>
      </c>
      <c r="I28" s="8">
        <v>457</v>
      </c>
      <c r="J28" s="8">
        <f t="shared" si="4"/>
        <v>4113</v>
      </c>
      <c r="K28" s="6" t="s">
        <v>9</v>
      </c>
      <c r="L28" s="9">
        <v>45837</v>
      </c>
      <c r="M28" s="1" t="str">
        <f t="shared" si="5"/>
        <v>BENIN CITY</v>
      </c>
      <c r="Q28" s="1" t="s">
        <v>16</v>
      </c>
      <c r="S28" s="1" t="str">
        <f t="shared" si="6"/>
        <v>Fanta</v>
      </c>
      <c r="U28" s="1" t="s">
        <v>14</v>
      </c>
      <c r="W28" s="1" t="str">
        <f t="shared" si="7"/>
        <v>Beverages</v>
      </c>
      <c r="Y28" s="16" t="s">
        <v>13</v>
      </c>
      <c r="AA28" s="1" t="s">
        <v>6</v>
      </c>
      <c r="AC28" s="5" t="str">
        <f t="shared" si="8"/>
        <v>BRANDON BARNETT</v>
      </c>
      <c r="AE28" s="1" t="s">
        <v>84</v>
      </c>
    </row>
    <row r="29" spans="2:31" x14ac:dyDescent="0.25">
      <c r="B29" s="6">
        <v>28</v>
      </c>
      <c r="C29" s="3" t="s">
        <v>85</v>
      </c>
      <c r="D29" s="4" t="str">
        <f t="shared" si="9"/>
        <v>ROBERT TAYLOR</v>
      </c>
      <c r="E29" s="6" t="str">
        <f t="shared" si="1"/>
        <v>FEMALE</v>
      </c>
      <c r="F29" s="6" t="str">
        <f t="shared" si="2"/>
        <v>HOUSEHOLD</v>
      </c>
      <c r="G29" s="6" t="str">
        <f t="shared" si="3"/>
        <v>DETERGENT</v>
      </c>
      <c r="H29" s="8">
        <v>3</v>
      </c>
      <c r="I29" s="8">
        <v>772</v>
      </c>
      <c r="J29" s="8">
        <f t="shared" si="4"/>
        <v>2316</v>
      </c>
      <c r="K29" s="6" t="s">
        <v>9</v>
      </c>
      <c r="L29" s="9">
        <v>45829</v>
      </c>
      <c r="M29" s="1" t="str">
        <f t="shared" si="5"/>
        <v>IBADAN</v>
      </c>
      <c r="Q29" s="1" t="s">
        <v>25</v>
      </c>
      <c r="S29" s="1" t="str">
        <f t="shared" si="6"/>
        <v>Detergent</v>
      </c>
      <c r="U29" s="1" t="s">
        <v>63</v>
      </c>
      <c r="W29" s="1" t="str">
        <f t="shared" si="7"/>
        <v>Household</v>
      </c>
      <c r="Y29" s="16" t="s">
        <v>24</v>
      </c>
      <c r="AA29" s="1" t="s">
        <v>6</v>
      </c>
      <c r="AC29" s="5" t="str">
        <f t="shared" si="8"/>
        <v>ROBERT TAYLOR</v>
      </c>
      <c r="AE29" s="1" t="s">
        <v>86</v>
      </c>
    </row>
    <row r="30" spans="2:31" x14ac:dyDescent="0.25">
      <c r="B30" s="6">
        <v>29</v>
      </c>
      <c r="C30" s="3" t="s">
        <v>87</v>
      </c>
      <c r="D30" s="4" t="str">
        <f t="shared" si="9"/>
        <v>AMBER PARKER</v>
      </c>
      <c r="E30" s="6" t="str">
        <f t="shared" si="1"/>
        <v>MALE</v>
      </c>
      <c r="F30" s="6" t="str">
        <f t="shared" si="2"/>
        <v>SNACKS</v>
      </c>
      <c r="G30" s="6" t="str">
        <f t="shared" si="3"/>
        <v>BISCUITS</v>
      </c>
      <c r="H30" s="8">
        <v>8</v>
      </c>
      <c r="I30" s="8">
        <v>362</v>
      </c>
      <c r="J30" s="8">
        <f t="shared" si="4"/>
        <v>2896</v>
      </c>
      <c r="K30" s="6" t="s">
        <v>15</v>
      </c>
      <c r="L30" s="9">
        <v>45811</v>
      </c>
      <c r="M30" s="1" t="str">
        <f t="shared" si="5"/>
        <v>PORT HARCOURT</v>
      </c>
      <c r="Q30" s="1" t="s">
        <v>10</v>
      </c>
      <c r="S30" s="1" t="str">
        <f t="shared" si="6"/>
        <v>Biscuits</v>
      </c>
      <c r="U30" s="1" t="s">
        <v>8</v>
      </c>
      <c r="W30" s="1" t="str">
        <f t="shared" si="7"/>
        <v>Snacks</v>
      </c>
      <c r="Y30" s="16" t="s">
        <v>7</v>
      </c>
      <c r="AA30" s="1" t="s">
        <v>19</v>
      </c>
      <c r="AC30" s="5" t="str">
        <f t="shared" si="8"/>
        <v>AMBER PARKER</v>
      </c>
      <c r="AE30" s="1" t="s">
        <v>88</v>
      </c>
    </row>
    <row r="31" spans="2:31" x14ac:dyDescent="0.25">
      <c r="B31" s="6">
        <v>30</v>
      </c>
      <c r="C31" s="3" t="s">
        <v>89</v>
      </c>
      <c r="D31" s="4" t="str">
        <f t="shared" si="9"/>
        <v>MARY CARLSON</v>
      </c>
      <c r="E31" s="6" t="str">
        <f t="shared" si="1"/>
        <v>FEMALE</v>
      </c>
      <c r="F31" s="6" t="str">
        <f t="shared" si="2"/>
        <v>HOUSEHOLD</v>
      </c>
      <c r="G31" s="6" t="str">
        <f t="shared" si="3"/>
        <v>TOILET PAPER</v>
      </c>
      <c r="H31" s="8">
        <v>1</v>
      </c>
      <c r="I31" s="8">
        <v>274</v>
      </c>
      <c r="J31" s="8">
        <f t="shared" si="4"/>
        <v>274</v>
      </c>
      <c r="K31" s="6" t="s">
        <v>20</v>
      </c>
      <c r="L31" s="9">
        <v>45813</v>
      </c>
      <c r="M31" s="1" t="str">
        <f t="shared" si="5"/>
        <v>KANO</v>
      </c>
      <c r="Q31" s="1" t="s">
        <v>72</v>
      </c>
      <c r="S31" s="1" t="str">
        <f t="shared" si="6"/>
        <v>Toilet Paper</v>
      </c>
      <c r="U31" s="1" t="s">
        <v>28</v>
      </c>
      <c r="W31" s="1" t="str">
        <f t="shared" si="7"/>
        <v>Household</v>
      </c>
      <c r="Y31" s="16" t="s">
        <v>24</v>
      </c>
      <c r="AA31" s="1" t="s">
        <v>6</v>
      </c>
      <c r="AC31" s="5" t="str">
        <f t="shared" si="8"/>
        <v xml:space="preserve"> MARY CARLSON  </v>
      </c>
      <c r="AE31" s="1" t="s">
        <v>531</v>
      </c>
    </row>
    <row r="32" spans="2:31" x14ac:dyDescent="0.25">
      <c r="B32" s="6">
        <v>31</v>
      </c>
      <c r="C32" s="3" t="s">
        <v>90</v>
      </c>
      <c r="D32" s="4" t="str">
        <f t="shared" si="9"/>
        <v>DAVID ALLEN</v>
      </c>
      <c r="E32" s="6" t="str">
        <f t="shared" si="1"/>
        <v>FEMALE</v>
      </c>
      <c r="F32" s="6" t="str">
        <f t="shared" si="2"/>
        <v>SNACKS</v>
      </c>
      <c r="G32" s="6" t="str">
        <f t="shared" si="3"/>
        <v>GRANOLA BAR</v>
      </c>
      <c r="H32" s="8">
        <v>10</v>
      </c>
      <c r="I32" s="8">
        <v>104</v>
      </c>
      <c r="J32" s="8">
        <f t="shared" si="4"/>
        <v>1040</v>
      </c>
      <c r="K32" s="6" t="s">
        <v>9</v>
      </c>
      <c r="L32" s="9">
        <v>45812</v>
      </c>
      <c r="M32" s="1" t="str">
        <f t="shared" si="5"/>
        <v>BENIN CITY</v>
      </c>
      <c r="Q32" s="1" t="s">
        <v>16</v>
      </c>
      <c r="S32" s="1" t="str">
        <f t="shared" si="6"/>
        <v>Granola Bar</v>
      </c>
      <c r="U32" s="1" t="s">
        <v>92</v>
      </c>
      <c r="W32" s="1" t="str">
        <f t="shared" si="7"/>
        <v>Snacks</v>
      </c>
      <c r="Y32" s="16" t="s">
        <v>7</v>
      </c>
      <c r="AA32" s="1" t="s">
        <v>6</v>
      </c>
      <c r="AC32" s="5" t="str">
        <f t="shared" si="8"/>
        <v>DAVID ALLEN</v>
      </c>
      <c r="AE32" s="1" t="s">
        <v>91</v>
      </c>
    </row>
    <row r="33" spans="2:31" x14ac:dyDescent="0.25">
      <c r="B33" s="6">
        <v>32</v>
      </c>
      <c r="C33" s="3" t="s">
        <v>93</v>
      </c>
      <c r="D33" s="4" t="str">
        <f t="shared" si="9"/>
        <v>SEAN COLEMAN</v>
      </c>
      <c r="E33" s="6" t="str">
        <f t="shared" si="1"/>
        <v>MALE</v>
      </c>
      <c r="F33" s="6" t="str">
        <f t="shared" si="2"/>
        <v>BEVERAGES</v>
      </c>
      <c r="G33" s="6" t="str">
        <f t="shared" si="3"/>
        <v>FANTA</v>
      </c>
      <c r="H33" s="8">
        <v>1</v>
      </c>
      <c r="I33" s="8">
        <v>764</v>
      </c>
      <c r="J33" s="8">
        <f t="shared" si="4"/>
        <v>764</v>
      </c>
      <c r="K33" s="6" t="s">
        <v>42</v>
      </c>
      <c r="L33" s="9">
        <v>45836</v>
      </c>
      <c r="M33" s="1" t="str">
        <f t="shared" si="5"/>
        <v>PORT HARCOURT</v>
      </c>
      <c r="Q33" s="1" t="s">
        <v>10</v>
      </c>
      <c r="S33" s="1" t="str">
        <f t="shared" si="6"/>
        <v>Fanta</v>
      </c>
      <c r="U33" s="1" t="s">
        <v>14</v>
      </c>
      <c r="W33" s="1" t="str">
        <f t="shared" si="7"/>
        <v>Beverages</v>
      </c>
      <c r="Y33" s="16" t="s">
        <v>13</v>
      </c>
      <c r="AA33" s="1" t="s">
        <v>19</v>
      </c>
      <c r="AC33" s="5" t="str">
        <f t="shared" si="8"/>
        <v>SEAN COLEMAN</v>
      </c>
      <c r="AE33" s="1" t="s">
        <v>94</v>
      </c>
    </row>
    <row r="34" spans="2:31" x14ac:dyDescent="0.25">
      <c r="B34" s="6">
        <v>33</v>
      </c>
      <c r="C34" s="3" t="s">
        <v>95</v>
      </c>
      <c r="D34" s="4" t="str">
        <f t="shared" si="9"/>
        <v>JOSEPH DURAN</v>
      </c>
      <c r="E34" s="6" t="str">
        <f t="shared" si="1"/>
        <v>FEMALE</v>
      </c>
      <c r="F34" s="6" t="str">
        <f t="shared" si="2"/>
        <v>HOUSEHOLD</v>
      </c>
      <c r="G34" s="6" t="str">
        <f t="shared" si="3"/>
        <v>DETERGENT</v>
      </c>
      <c r="H34" s="8">
        <v>9</v>
      </c>
      <c r="I34" s="8">
        <v>192</v>
      </c>
      <c r="J34" s="8">
        <f t="shared" si="4"/>
        <v>1728</v>
      </c>
      <c r="K34" s="6" t="s">
        <v>20</v>
      </c>
      <c r="L34" s="9">
        <v>45825</v>
      </c>
      <c r="M34" s="1" t="str">
        <f t="shared" ref="M34:M65" si="10">UPPER(Q34)</f>
        <v>ABUJA</v>
      </c>
      <c r="Q34" s="1" t="s">
        <v>58</v>
      </c>
      <c r="S34" s="1" t="str">
        <f t="shared" ref="S34:S65" si="11">TRIM(U34)</f>
        <v>Detergent</v>
      </c>
      <c r="U34" s="1" t="s">
        <v>63</v>
      </c>
      <c r="W34" s="1" t="str">
        <f t="shared" si="7"/>
        <v>Household</v>
      </c>
      <c r="Y34" s="16" t="s">
        <v>24</v>
      </c>
      <c r="AA34" s="1" t="s">
        <v>6</v>
      </c>
      <c r="AC34" s="5" t="str">
        <f t="shared" si="8"/>
        <v>JOSEPH DURAN</v>
      </c>
      <c r="AE34" s="1" t="s">
        <v>96</v>
      </c>
    </row>
    <row r="35" spans="2:31" x14ac:dyDescent="0.25">
      <c r="B35" s="6">
        <v>34</v>
      </c>
      <c r="C35" s="3" t="s">
        <v>97</v>
      </c>
      <c r="D35" s="4" t="str">
        <f t="shared" si="9"/>
        <v>DEBORAH PEREZ</v>
      </c>
      <c r="E35" s="6" t="str">
        <f t="shared" si="1"/>
        <v>MALE</v>
      </c>
      <c r="F35" s="6" t="str">
        <f t="shared" si="2"/>
        <v>SNACKS</v>
      </c>
      <c r="G35" s="6" t="str">
        <f t="shared" si="3"/>
        <v>COOKIES</v>
      </c>
      <c r="H35" s="8">
        <v>5</v>
      </c>
      <c r="I35" s="8">
        <v>295</v>
      </c>
      <c r="J35" s="8">
        <f t="shared" si="4"/>
        <v>1475</v>
      </c>
      <c r="K35" s="6" t="s">
        <v>9</v>
      </c>
      <c r="L35" s="9">
        <v>45837</v>
      </c>
      <c r="M35" s="1" t="str">
        <f t="shared" si="10"/>
        <v>ABUJA</v>
      </c>
      <c r="Q35" s="1" t="s">
        <v>58</v>
      </c>
      <c r="S35" s="1" t="str">
        <f t="shared" si="11"/>
        <v>Cookies</v>
      </c>
      <c r="U35" s="1" t="s">
        <v>71</v>
      </c>
      <c r="W35" s="1" t="str">
        <f t="shared" si="7"/>
        <v>Snacks</v>
      </c>
      <c r="Y35" s="16" t="s">
        <v>7</v>
      </c>
      <c r="AA35" s="1" t="s">
        <v>19</v>
      </c>
      <c r="AC35" s="5" t="str">
        <f t="shared" si="8"/>
        <v>DEBORAH PEREZ</v>
      </c>
      <c r="AE35" s="1" t="s">
        <v>98</v>
      </c>
    </row>
    <row r="36" spans="2:31" x14ac:dyDescent="0.25">
      <c r="B36" s="6">
        <v>35</v>
      </c>
      <c r="C36" s="3" t="s">
        <v>99</v>
      </c>
      <c r="D36" s="4" t="str">
        <f t="shared" si="9"/>
        <v>ANTHONY PUGH</v>
      </c>
      <c r="E36" s="6" t="str">
        <f t="shared" si="1"/>
        <v>MALE</v>
      </c>
      <c r="F36" s="6" t="str">
        <f t="shared" si="2"/>
        <v>PERSONAL CARE</v>
      </c>
      <c r="G36" s="6" t="str">
        <f t="shared" si="3"/>
        <v>LOTION</v>
      </c>
      <c r="H36" s="8">
        <v>10</v>
      </c>
      <c r="I36" s="8">
        <v>536</v>
      </c>
      <c r="J36" s="8">
        <f t="shared" si="4"/>
        <v>5360</v>
      </c>
      <c r="K36" s="6" t="s">
        <v>42</v>
      </c>
      <c r="L36" s="9">
        <v>45815</v>
      </c>
      <c r="M36" s="1" t="str">
        <f t="shared" si="10"/>
        <v>BENIN CITY</v>
      </c>
      <c r="Q36" s="1" t="s">
        <v>16</v>
      </c>
      <c r="S36" s="1" t="str">
        <f t="shared" si="11"/>
        <v>Lotion</v>
      </c>
      <c r="U36" s="1" t="s">
        <v>49</v>
      </c>
      <c r="W36" s="1" t="str">
        <f t="shared" si="7"/>
        <v>Personal Care</v>
      </c>
      <c r="Y36" s="16" t="s">
        <v>555</v>
      </c>
      <c r="AA36" s="1" t="s">
        <v>19</v>
      </c>
      <c r="AC36" s="5" t="str">
        <f t="shared" si="8"/>
        <v>ANTHONY PUGH</v>
      </c>
      <c r="AE36" s="1" t="s">
        <v>100</v>
      </c>
    </row>
    <row r="37" spans="2:31" x14ac:dyDescent="0.25">
      <c r="B37" s="6">
        <v>36</v>
      </c>
      <c r="C37" s="3" t="s">
        <v>101</v>
      </c>
      <c r="D37" s="4" t="str">
        <f t="shared" si="9"/>
        <v>TYLER HARVEY</v>
      </c>
      <c r="E37" s="6" t="str">
        <f t="shared" si="1"/>
        <v>FEMALE</v>
      </c>
      <c r="F37" s="6" t="str">
        <f t="shared" si="2"/>
        <v>SNACKS</v>
      </c>
      <c r="G37" s="6" t="str">
        <f t="shared" si="3"/>
        <v>CHIPS</v>
      </c>
      <c r="H37" s="8">
        <v>7</v>
      </c>
      <c r="I37" s="8">
        <v>228</v>
      </c>
      <c r="J37" s="8">
        <f t="shared" si="4"/>
        <v>1596</v>
      </c>
      <c r="K37" s="6" t="s">
        <v>20</v>
      </c>
      <c r="L37" s="9">
        <v>45832</v>
      </c>
      <c r="M37" s="1" t="str">
        <f t="shared" si="10"/>
        <v>BENIN CITY</v>
      </c>
      <c r="Q37" s="1" t="s">
        <v>16</v>
      </c>
      <c r="S37" s="1" t="str">
        <f t="shared" si="11"/>
        <v>Chips</v>
      </c>
      <c r="U37" s="1" t="s">
        <v>103</v>
      </c>
      <c r="W37" s="1" t="str">
        <f t="shared" si="7"/>
        <v>Snacks</v>
      </c>
      <c r="Y37" s="16" t="s">
        <v>7</v>
      </c>
      <c r="AA37" s="1" t="s">
        <v>6</v>
      </c>
      <c r="AC37" s="5" t="str">
        <f t="shared" si="8"/>
        <v xml:space="preserve">  TYLER HARVEY  </v>
      </c>
      <c r="AE37" s="1" t="s">
        <v>102</v>
      </c>
    </row>
    <row r="38" spans="2:31" x14ac:dyDescent="0.25">
      <c r="B38" s="6">
        <v>37</v>
      </c>
      <c r="C38" s="3" t="s">
        <v>104</v>
      </c>
      <c r="D38" s="4" t="str">
        <f t="shared" si="9"/>
        <v>RUTH GARCIA</v>
      </c>
      <c r="E38" s="6" t="str">
        <f t="shared" si="1"/>
        <v>FEMALE</v>
      </c>
      <c r="F38" s="6" t="str">
        <f t="shared" si="2"/>
        <v>BEVERAGES</v>
      </c>
      <c r="G38" s="6" t="str">
        <f t="shared" si="3"/>
        <v>WATER</v>
      </c>
      <c r="H38" s="8">
        <v>10</v>
      </c>
      <c r="I38" s="8">
        <v>711</v>
      </c>
      <c r="J38" s="8">
        <f t="shared" si="4"/>
        <v>7110</v>
      </c>
      <c r="K38" s="6" t="s">
        <v>15</v>
      </c>
      <c r="L38" s="9">
        <v>45830</v>
      </c>
      <c r="M38" s="1" t="str">
        <f t="shared" si="10"/>
        <v>PORT HARCOURT</v>
      </c>
      <c r="Q38" s="1" t="s">
        <v>10</v>
      </c>
      <c r="S38" s="1" t="str">
        <f t="shared" si="11"/>
        <v>Water</v>
      </c>
      <c r="U38" s="1" t="s">
        <v>106</v>
      </c>
      <c r="W38" s="1" t="str">
        <f t="shared" si="7"/>
        <v>Beverages</v>
      </c>
      <c r="Y38" s="16" t="s">
        <v>13</v>
      </c>
      <c r="AA38" s="1" t="s">
        <v>6</v>
      </c>
      <c r="AC38" s="5" t="str">
        <f t="shared" si="8"/>
        <v>RUTH GARCIA</v>
      </c>
      <c r="AE38" s="1" t="s">
        <v>105</v>
      </c>
    </row>
    <row r="39" spans="2:31" x14ac:dyDescent="0.25">
      <c r="B39" s="6">
        <v>38</v>
      </c>
      <c r="C39" s="3" t="s">
        <v>107</v>
      </c>
      <c r="D39" s="4" t="str">
        <f t="shared" si="9"/>
        <v>LINDSEY HENRY</v>
      </c>
      <c r="E39" s="6" t="str">
        <f t="shared" si="1"/>
        <v>MALE</v>
      </c>
      <c r="F39" s="6" t="str">
        <f t="shared" si="2"/>
        <v>SNACKS</v>
      </c>
      <c r="G39" s="6" t="str">
        <f t="shared" si="3"/>
        <v>CHIPS</v>
      </c>
      <c r="H39" s="8">
        <v>9</v>
      </c>
      <c r="I39" s="8">
        <v>992</v>
      </c>
      <c r="J39" s="8">
        <f t="shared" si="4"/>
        <v>8928</v>
      </c>
      <c r="K39" s="6" t="s">
        <v>9</v>
      </c>
      <c r="L39" s="9">
        <v>45827</v>
      </c>
      <c r="M39" s="1" t="str">
        <f t="shared" si="10"/>
        <v>PORT HARCOURT</v>
      </c>
      <c r="Q39" s="1" t="s">
        <v>10</v>
      </c>
      <c r="S39" s="1" t="str">
        <f t="shared" si="11"/>
        <v>Chips</v>
      </c>
      <c r="U39" s="1" t="s">
        <v>103</v>
      </c>
      <c r="W39" s="1" t="str">
        <f t="shared" si="7"/>
        <v>Snacks</v>
      </c>
      <c r="Y39" s="16" t="s">
        <v>7</v>
      </c>
      <c r="AA39" s="1" t="s">
        <v>19</v>
      </c>
      <c r="AC39" s="5" t="str">
        <f t="shared" si="8"/>
        <v>LINDSEY HENRY</v>
      </c>
      <c r="AE39" s="1" t="s">
        <v>108</v>
      </c>
    </row>
    <row r="40" spans="2:31" x14ac:dyDescent="0.25">
      <c r="B40" s="6">
        <v>39</v>
      </c>
      <c r="C40" s="3" t="s">
        <v>109</v>
      </c>
      <c r="D40" s="4" t="str">
        <f t="shared" si="9"/>
        <v>DAVID RUIZ</v>
      </c>
      <c r="E40" s="6" t="str">
        <f t="shared" si="1"/>
        <v>FEMALE</v>
      </c>
      <c r="F40" s="6" t="str">
        <f t="shared" si="2"/>
        <v>PERSONAL CARE</v>
      </c>
      <c r="G40" s="6" t="str">
        <f t="shared" si="3"/>
        <v>LOTION</v>
      </c>
      <c r="H40" s="8">
        <v>2</v>
      </c>
      <c r="I40" s="8">
        <v>395</v>
      </c>
      <c r="J40" s="8">
        <f t="shared" si="4"/>
        <v>790</v>
      </c>
      <c r="K40" s="6" t="s">
        <v>9</v>
      </c>
      <c r="L40" s="9">
        <v>45814</v>
      </c>
      <c r="M40" s="1" t="str">
        <f t="shared" si="10"/>
        <v>LAGOS</v>
      </c>
      <c r="Q40" s="1" t="s">
        <v>29</v>
      </c>
      <c r="S40" s="1" t="str">
        <f t="shared" si="11"/>
        <v>Lotion</v>
      </c>
      <c r="U40" s="1" t="s">
        <v>49</v>
      </c>
      <c r="W40" s="1" t="str">
        <f t="shared" si="7"/>
        <v>Personal Care</v>
      </c>
      <c r="Y40" s="16" t="s">
        <v>555</v>
      </c>
      <c r="AA40" s="1" t="s">
        <v>6</v>
      </c>
      <c r="AC40" s="5" t="str">
        <f t="shared" si="8"/>
        <v>DAVID RUIZ</v>
      </c>
      <c r="AE40" s="1" t="s">
        <v>110</v>
      </c>
    </row>
    <row r="41" spans="2:31" x14ac:dyDescent="0.25">
      <c r="B41" s="6">
        <v>40</v>
      </c>
      <c r="C41" s="3" t="s">
        <v>111</v>
      </c>
      <c r="D41" s="4" t="str">
        <f t="shared" si="9"/>
        <v>YOLANDA WARD</v>
      </c>
      <c r="E41" s="6" t="str">
        <f t="shared" si="1"/>
        <v>FEMALE</v>
      </c>
      <c r="F41" s="6" t="str">
        <f t="shared" si="2"/>
        <v>SNACKS</v>
      </c>
      <c r="G41" s="6" t="str">
        <f t="shared" si="3"/>
        <v>CHIN CHIN</v>
      </c>
      <c r="H41" s="8">
        <v>10</v>
      </c>
      <c r="I41" s="8">
        <v>524</v>
      </c>
      <c r="J41" s="8">
        <f t="shared" si="4"/>
        <v>5240</v>
      </c>
      <c r="K41" s="6" t="s">
        <v>9</v>
      </c>
      <c r="L41" s="9">
        <v>45828</v>
      </c>
      <c r="M41" s="1" t="str">
        <f t="shared" si="10"/>
        <v>KANO</v>
      </c>
      <c r="Q41" s="1" t="s">
        <v>72</v>
      </c>
      <c r="S41" s="1" t="str">
        <f t="shared" si="11"/>
        <v>Chin Chin</v>
      </c>
      <c r="U41" s="1" t="s">
        <v>41</v>
      </c>
      <c r="W41" s="1" t="str">
        <f t="shared" si="7"/>
        <v>Snacks</v>
      </c>
      <c r="Y41" s="16" t="s">
        <v>7</v>
      </c>
      <c r="AA41" s="1" t="s">
        <v>6</v>
      </c>
      <c r="AC41" s="5" t="str">
        <f t="shared" si="8"/>
        <v>YOLANDA WARD</v>
      </c>
      <c r="AE41" s="1" t="s">
        <v>112</v>
      </c>
    </row>
    <row r="42" spans="2:31" x14ac:dyDescent="0.25">
      <c r="B42" s="6">
        <v>41</v>
      </c>
      <c r="C42" s="3" t="s">
        <v>113</v>
      </c>
      <c r="D42" s="4" t="str">
        <f t="shared" si="9"/>
        <v>CHRISTOPHER YOUNG</v>
      </c>
      <c r="E42" s="6" t="str">
        <f t="shared" si="1"/>
        <v>FEMALE</v>
      </c>
      <c r="F42" s="6" t="str">
        <f t="shared" si="2"/>
        <v>SNACKS</v>
      </c>
      <c r="G42" s="6" t="str">
        <f t="shared" si="3"/>
        <v>GRANOLA BAR</v>
      </c>
      <c r="H42" s="8">
        <v>1</v>
      </c>
      <c r="I42" s="8">
        <v>729</v>
      </c>
      <c r="J42" s="8">
        <f t="shared" si="4"/>
        <v>729</v>
      </c>
      <c r="K42" s="6" t="s">
        <v>42</v>
      </c>
      <c r="L42" s="9">
        <v>45818</v>
      </c>
      <c r="M42" s="1" t="str">
        <f t="shared" si="10"/>
        <v>ABUJA</v>
      </c>
      <c r="Q42" s="1" t="s">
        <v>58</v>
      </c>
      <c r="S42" s="1" t="str">
        <f t="shared" si="11"/>
        <v>Granola Bar</v>
      </c>
      <c r="U42" s="1" t="s">
        <v>92</v>
      </c>
      <c r="W42" s="1" t="str">
        <f t="shared" si="7"/>
        <v>Snacks</v>
      </c>
      <c r="Y42" s="16" t="s">
        <v>7</v>
      </c>
      <c r="AA42" s="1" t="s">
        <v>6</v>
      </c>
      <c r="AC42" s="5" t="str">
        <f t="shared" si="8"/>
        <v>CHRISTOPHER YOUNG</v>
      </c>
      <c r="AE42" s="1" t="s">
        <v>114</v>
      </c>
    </row>
    <row r="43" spans="2:31" x14ac:dyDescent="0.25">
      <c r="B43" s="6">
        <v>42</v>
      </c>
      <c r="C43" s="3" t="s">
        <v>115</v>
      </c>
      <c r="D43" s="4" t="str">
        <f t="shared" si="9"/>
        <v>MICHAEL HALL</v>
      </c>
      <c r="E43" s="6" t="str">
        <f t="shared" si="1"/>
        <v>FEMALE</v>
      </c>
      <c r="F43" s="6" t="str">
        <f t="shared" si="2"/>
        <v>PERSONAL CARE</v>
      </c>
      <c r="G43" s="6" t="str">
        <f t="shared" si="3"/>
        <v>HAND SANITIZER</v>
      </c>
      <c r="H43" s="8">
        <v>8</v>
      </c>
      <c r="I43" s="8">
        <v>794</v>
      </c>
      <c r="J43" s="8">
        <f t="shared" si="4"/>
        <v>6352</v>
      </c>
      <c r="K43" s="6" t="s">
        <v>15</v>
      </c>
      <c r="L43" s="9">
        <v>45831</v>
      </c>
      <c r="M43" s="1" t="str">
        <f t="shared" si="10"/>
        <v>LAGOS</v>
      </c>
      <c r="Q43" s="1" t="s">
        <v>29</v>
      </c>
      <c r="S43" s="1" t="str">
        <f t="shared" si="11"/>
        <v>Hand Sanitizer</v>
      </c>
      <c r="U43" s="1" t="s">
        <v>117</v>
      </c>
      <c r="W43" s="1" t="str">
        <f t="shared" si="7"/>
        <v>Personal Care</v>
      </c>
      <c r="Y43" s="16" t="s">
        <v>555</v>
      </c>
      <c r="AA43" s="1" t="s">
        <v>6</v>
      </c>
      <c r="AC43" s="5" t="str">
        <f t="shared" si="8"/>
        <v>MICHAEL HALL</v>
      </c>
      <c r="AE43" s="1" t="s">
        <v>116</v>
      </c>
    </row>
    <row r="44" spans="2:31" x14ac:dyDescent="0.25">
      <c r="B44" s="6">
        <v>43</v>
      </c>
      <c r="C44" s="3" t="s">
        <v>118</v>
      </c>
      <c r="D44" s="4" t="str">
        <f t="shared" si="9"/>
        <v>JESSICA WILLIAMS</v>
      </c>
      <c r="E44" s="6" t="str">
        <f t="shared" si="1"/>
        <v>MALE</v>
      </c>
      <c r="F44" s="6" t="str">
        <f t="shared" si="2"/>
        <v>HOUSEHOLD</v>
      </c>
      <c r="G44" s="6" t="str">
        <f t="shared" si="3"/>
        <v>AIR FRESHENER</v>
      </c>
      <c r="H44" s="8">
        <v>8</v>
      </c>
      <c r="I44" s="8">
        <v>999</v>
      </c>
      <c r="J44" s="8">
        <f t="shared" si="4"/>
        <v>7992</v>
      </c>
      <c r="K44" s="6" t="s">
        <v>42</v>
      </c>
      <c r="L44" s="9">
        <v>45819</v>
      </c>
      <c r="M44" s="1" t="str">
        <f t="shared" si="10"/>
        <v>PORT HARCOURT</v>
      </c>
      <c r="Q44" s="1" t="s">
        <v>10</v>
      </c>
      <c r="S44" s="1" t="str">
        <f t="shared" si="11"/>
        <v>Air Freshener</v>
      </c>
      <c r="U44" s="1" t="s">
        <v>55</v>
      </c>
      <c r="W44" s="1" t="str">
        <f t="shared" si="7"/>
        <v>Household</v>
      </c>
      <c r="Y44" s="16" t="s">
        <v>24</v>
      </c>
      <c r="AA44" s="1" t="s">
        <v>19</v>
      </c>
      <c r="AC44" s="5" t="str">
        <f t="shared" si="8"/>
        <v>JESSICA WILLIAMS</v>
      </c>
      <c r="AE44" s="1" t="s">
        <v>119</v>
      </c>
    </row>
    <row r="45" spans="2:31" x14ac:dyDescent="0.25">
      <c r="B45" s="6">
        <v>44</v>
      </c>
      <c r="C45" s="3" t="s">
        <v>120</v>
      </c>
      <c r="D45" s="4" t="str">
        <f t="shared" si="9"/>
        <v>REBECCA CHARLES</v>
      </c>
      <c r="E45" s="6" t="str">
        <f t="shared" si="1"/>
        <v>FEMALE</v>
      </c>
      <c r="F45" s="6" t="str">
        <f t="shared" si="2"/>
        <v>SNACKS</v>
      </c>
      <c r="G45" s="6" t="str">
        <f t="shared" si="3"/>
        <v>CHIN CHIN</v>
      </c>
      <c r="H45" s="8">
        <v>1</v>
      </c>
      <c r="I45" s="8">
        <v>137</v>
      </c>
      <c r="J45" s="8">
        <f t="shared" si="4"/>
        <v>137</v>
      </c>
      <c r="K45" s="6" t="s">
        <v>20</v>
      </c>
      <c r="L45" s="9">
        <v>45835</v>
      </c>
      <c r="M45" s="1" t="str">
        <f t="shared" si="10"/>
        <v>KANO</v>
      </c>
      <c r="Q45" s="1" t="s">
        <v>72</v>
      </c>
      <c r="S45" s="1" t="str">
        <f t="shared" si="11"/>
        <v>Chin Chin</v>
      </c>
      <c r="U45" s="1" t="s">
        <v>41</v>
      </c>
      <c r="W45" s="1" t="str">
        <f t="shared" si="7"/>
        <v>Snacks</v>
      </c>
      <c r="Y45" s="16" t="s">
        <v>7</v>
      </c>
      <c r="AA45" s="1" t="s">
        <v>6</v>
      </c>
      <c r="AC45" s="5" t="str">
        <f t="shared" si="8"/>
        <v>REBECCA CHARLES</v>
      </c>
      <c r="AE45" s="1" t="s">
        <v>121</v>
      </c>
    </row>
    <row r="46" spans="2:31" x14ac:dyDescent="0.25">
      <c r="B46" s="6">
        <v>45</v>
      </c>
      <c r="C46" s="3" t="s">
        <v>122</v>
      </c>
      <c r="D46" s="4" t="str">
        <f t="shared" si="9"/>
        <v>MICHELLE DURAN</v>
      </c>
      <c r="E46" s="6" t="str">
        <f t="shared" si="1"/>
        <v>FEMALE</v>
      </c>
      <c r="F46" s="6" t="str">
        <f t="shared" si="2"/>
        <v>BEVERAGES</v>
      </c>
      <c r="G46" s="6" t="str">
        <f t="shared" si="3"/>
        <v>COKE</v>
      </c>
      <c r="H46" s="8">
        <v>3</v>
      </c>
      <c r="I46" s="8">
        <v>605</v>
      </c>
      <c r="J46" s="15">
        <f t="shared" si="4"/>
        <v>1815</v>
      </c>
      <c r="K46" s="6" t="s">
        <v>20</v>
      </c>
      <c r="L46" s="9">
        <v>45822</v>
      </c>
      <c r="M46" s="1" t="str">
        <f t="shared" si="10"/>
        <v>KANO</v>
      </c>
      <c r="Q46" s="1" t="s">
        <v>72</v>
      </c>
      <c r="S46" s="1" t="str">
        <f t="shared" si="11"/>
        <v>Coke</v>
      </c>
      <c r="U46" s="1" t="s">
        <v>35</v>
      </c>
      <c r="W46" s="1" t="str">
        <f t="shared" si="7"/>
        <v>Beverages</v>
      </c>
      <c r="Y46" s="16" t="s">
        <v>13</v>
      </c>
      <c r="AA46" s="1" t="s">
        <v>6</v>
      </c>
      <c r="AC46" s="5" t="str">
        <f t="shared" si="8"/>
        <v>MICHELLE DURAN</v>
      </c>
      <c r="AE46" s="1" t="s">
        <v>123</v>
      </c>
    </row>
    <row r="47" spans="2:31" x14ac:dyDescent="0.25">
      <c r="B47" s="6">
        <v>46</v>
      </c>
      <c r="C47" s="3" t="s">
        <v>124</v>
      </c>
      <c r="D47" s="4" t="str">
        <f t="shared" si="9"/>
        <v>KEITH BROWN</v>
      </c>
      <c r="E47" s="6" t="str">
        <f t="shared" si="1"/>
        <v>FEMALE</v>
      </c>
      <c r="F47" s="6" t="str">
        <f t="shared" si="2"/>
        <v>SNACKS</v>
      </c>
      <c r="G47" s="6" t="str">
        <f t="shared" si="3"/>
        <v>CHIN CHIN</v>
      </c>
      <c r="H47" s="8">
        <v>3</v>
      </c>
      <c r="I47" s="8">
        <v>828</v>
      </c>
      <c r="J47" s="8">
        <f t="shared" si="4"/>
        <v>2484</v>
      </c>
      <c r="K47" s="6" t="s">
        <v>9</v>
      </c>
      <c r="L47" s="9">
        <v>45832</v>
      </c>
      <c r="M47" s="1" t="str">
        <f t="shared" si="10"/>
        <v>IBADAN</v>
      </c>
      <c r="Q47" s="1" t="s">
        <v>25</v>
      </c>
      <c r="S47" s="1" t="str">
        <f t="shared" si="11"/>
        <v>Chin Chin</v>
      </c>
      <c r="U47" s="1" t="s">
        <v>41</v>
      </c>
      <c r="W47" s="1" t="str">
        <f t="shared" si="7"/>
        <v>Snacks</v>
      </c>
      <c r="Y47" s="16" t="s">
        <v>7</v>
      </c>
      <c r="AA47" s="1" t="s">
        <v>6</v>
      </c>
      <c r="AC47" s="5" t="str">
        <f t="shared" si="8"/>
        <v>KEITH BROWN</v>
      </c>
      <c r="AE47" s="1" t="s">
        <v>125</v>
      </c>
    </row>
    <row r="48" spans="2:31" x14ac:dyDescent="0.25">
      <c r="B48" s="6">
        <v>47</v>
      </c>
      <c r="C48" s="3" t="s">
        <v>126</v>
      </c>
      <c r="D48" s="4" t="str">
        <f t="shared" si="9"/>
        <v>LISA WATSON</v>
      </c>
      <c r="E48" s="6" t="str">
        <f t="shared" si="1"/>
        <v>MALE</v>
      </c>
      <c r="F48" s="6" t="str">
        <f t="shared" si="2"/>
        <v>PERSONAL CARE</v>
      </c>
      <c r="G48" s="6" t="str">
        <f t="shared" si="3"/>
        <v>HAND SANITIZER</v>
      </c>
      <c r="H48" s="8">
        <v>2</v>
      </c>
      <c r="I48" s="8">
        <v>73</v>
      </c>
      <c r="J48" s="8">
        <f t="shared" si="4"/>
        <v>146</v>
      </c>
      <c r="K48" s="6" t="s">
        <v>9</v>
      </c>
      <c r="L48" s="9">
        <v>45837</v>
      </c>
      <c r="M48" s="1" t="str">
        <f t="shared" si="10"/>
        <v>PORT HARCOURT</v>
      </c>
      <c r="Q48" s="1" t="s">
        <v>10</v>
      </c>
      <c r="S48" s="1" t="str">
        <f t="shared" si="11"/>
        <v>Hand Sanitizer</v>
      </c>
      <c r="U48" s="1" t="s">
        <v>117</v>
      </c>
      <c r="W48" s="1" t="str">
        <f t="shared" si="7"/>
        <v>Personal Care</v>
      </c>
      <c r="Y48" s="16" t="s">
        <v>555</v>
      </c>
      <c r="AA48" s="1" t="s">
        <v>19</v>
      </c>
      <c r="AC48" s="5" t="str">
        <f t="shared" si="8"/>
        <v>LISA WATSON</v>
      </c>
      <c r="AE48" s="1" t="s">
        <v>127</v>
      </c>
    </row>
    <row r="49" spans="2:31" x14ac:dyDescent="0.25">
      <c r="B49" s="6">
        <v>48</v>
      </c>
      <c r="C49" s="3" t="s">
        <v>128</v>
      </c>
      <c r="D49" s="4" t="str">
        <f t="shared" si="9"/>
        <v>SARAH NORRIS</v>
      </c>
      <c r="E49" s="6" t="str">
        <f t="shared" si="1"/>
        <v>FEMALE</v>
      </c>
      <c r="F49" s="6" t="str">
        <f t="shared" si="2"/>
        <v>PERSONAL CARE</v>
      </c>
      <c r="G49" s="6" t="str">
        <f t="shared" si="3"/>
        <v>SHAMPOO</v>
      </c>
      <c r="H49" s="8">
        <v>10</v>
      </c>
      <c r="I49" s="8">
        <v>772</v>
      </c>
      <c r="J49" s="8">
        <f t="shared" si="4"/>
        <v>7720</v>
      </c>
      <c r="K49" s="6" t="s">
        <v>42</v>
      </c>
      <c r="L49" s="9">
        <v>45835</v>
      </c>
      <c r="M49" s="1" t="str">
        <f t="shared" si="10"/>
        <v>PORT HARCOURT</v>
      </c>
      <c r="Q49" s="1" t="s">
        <v>10</v>
      </c>
      <c r="S49" s="1" t="str">
        <f t="shared" si="11"/>
        <v>Shampoo</v>
      </c>
      <c r="U49" s="1" t="s">
        <v>38</v>
      </c>
      <c r="W49" s="1" t="str">
        <f t="shared" si="7"/>
        <v>Personal Care</v>
      </c>
      <c r="Y49" s="16" t="s">
        <v>555</v>
      </c>
      <c r="AA49" s="1" t="s">
        <v>6</v>
      </c>
      <c r="AC49" s="5" t="str">
        <f t="shared" si="8"/>
        <v>SARAH NORRIS</v>
      </c>
      <c r="AE49" s="1" t="s">
        <v>129</v>
      </c>
    </row>
    <row r="50" spans="2:31" x14ac:dyDescent="0.25">
      <c r="B50" s="6">
        <v>49</v>
      </c>
      <c r="C50" s="3" t="s">
        <v>130</v>
      </c>
      <c r="D50" s="4" t="str">
        <f t="shared" si="9"/>
        <v>NICHOLAS WILSON</v>
      </c>
      <c r="E50" s="6" t="str">
        <f t="shared" si="1"/>
        <v>MALE</v>
      </c>
      <c r="F50" s="6" t="str">
        <f t="shared" si="2"/>
        <v>BEVERAGES</v>
      </c>
      <c r="G50" s="6" t="str">
        <f t="shared" si="3"/>
        <v>PEPSI</v>
      </c>
      <c r="H50" s="8">
        <v>9</v>
      </c>
      <c r="I50" s="8">
        <v>980</v>
      </c>
      <c r="J50" s="8">
        <f t="shared" si="4"/>
        <v>8820</v>
      </c>
      <c r="K50" s="6" t="s">
        <v>42</v>
      </c>
      <c r="L50" s="9">
        <v>45826</v>
      </c>
      <c r="M50" s="1" t="str">
        <f t="shared" si="10"/>
        <v>KANO</v>
      </c>
      <c r="Q50" s="1" t="s">
        <v>72</v>
      </c>
      <c r="S50" s="1" t="str">
        <f t="shared" si="11"/>
        <v>Pepsi</v>
      </c>
      <c r="U50" s="1" t="s">
        <v>82</v>
      </c>
      <c r="W50" s="1" t="str">
        <f t="shared" si="7"/>
        <v>Beverages</v>
      </c>
      <c r="Y50" s="16" t="s">
        <v>13</v>
      </c>
      <c r="AA50" s="1" t="s">
        <v>19</v>
      </c>
      <c r="AC50" s="5" t="str">
        <f t="shared" si="8"/>
        <v>NICHOLAS WILSON</v>
      </c>
      <c r="AE50" s="1" t="s">
        <v>131</v>
      </c>
    </row>
    <row r="51" spans="2:31" x14ac:dyDescent="0.25">
      <c r="B51" s="6">
        <v>50</v>
      </c>
      <c r="C51" s="3" t="s">
        <v>132</v>
      </c>
      <c r="D51" s="4" t="str">
        <f t="shared" si="9"/>
        <v>CHARLES HOPKINS</v>
      </c>
      <c r="E51" s="6" t="str">
        <f t="shared" si="1"/>
        <v>MALE</v>
      </c>
      <c r="F51" s="6" t="str">
        <f t="shared" si="2"/>
        <v>HOUSEHOLD</v>
      </c>
      <c r="G51" s="6" t="str">
        <f t="shared" si="3"/>
        <v>BLEACH</v>
      </c>
      <c r="H51" s="8">
        <v>5</v>
      </c>
      <c r="I51" s="8">
        <v>529</v>
      </c>
      <c r="J51" s="8">
        <f t="shared" si="4"/>
        <v>2645</v>
      </c>
      <c r="K51" s="6" t="s">
        <v>42</v>
      </c>
      <c r="L51" s="9">
        <v>45837</v>
      </c>
      <c r="M51" s="1" t="str">
        <f t="shared" si="10"/>
        <v>LAGOS</v>
      </c>
      <c r="Q51" s="1" t="s">
        <v>29</v>
      </c>
      <c r="S51" s="1" t="str">
        <f t="shared" si="11"/>
        <v>Bleach</v>
      </c>
      <c r="U51" s="1" t="s">
        <v>134</v>
      </c>
      <c r="W51" s="1" t="str">
        <f t="shared" si="7"/>
        <v>Household</v>
      </c>
      <c r="Y51" s="16" t="s">
        <v>24</v>
      </c>
      <c r="AA51" s="1" t="s">
        <v>19</v>
      </c>
      <c r="AC51" s="5" t="str">
        <f t="shared" si="8"/>
        <v>CHARLES HOPKINS</v>
      </c>
      <c r="AE51" s="1" t="s">
        <v>133</v>
      </c>
    </row>
    <row r="52" spans="2:31" x14ac:dyDescent="0.25">
      <c r="B52" s="6">
        <v>51</v>
      </c>
      <c r="C52" s="3" t="s">
        <v>135</v>
      </c>
      <c r="D52" s="4" t="str">
        <f t="shared" si="9"/>
        <v>ANDREW LITTLE</v>
      </c>
      <c r="E52" s="6" t="str">
        <f t="shared" si="1"/>
        <v>FEMALE</v>
      </c>
      <c r="F52" s="6" t="str">
        <f t="shared" si="2"/>
        <v>BEVERAGES</v>
      </c>
      <c r="G52" s="6" t="str">
        <f t="shared" si="3"/>
        <v>WATER</v>
      </c>
      <c r="H52" s="8">
        <v>5</v>
      </c>
      <c r="I52" s="8">
        <v>746</v>
      </c>
      <c r="J52" s="8">
        <f t="shared" si="4"/>
        <v>3730</v>
      </c>
      <c r="K52" s="6" t="s">
        <v>15</v>
      </c>
      <c r="L52" s="9">
        <v>45811</v>
      </c>
      <c r="M52" s="1" t="str">
        <f t="shared" si="10"/>
        <v>PORT HARCOURT</v>
      </c>
      <c r="Q52" s="1" t="s">
        <v>10</v>
      </c>
      <c r="S52" s="1" t="str">
        <f t="shared" si="11"/>
        <v>Water</v>
      </c>
      <c r="U52" s="1" t="s">
        <v>106</v>
      </c>
      <c r="W52" s="1" t="str">
        <f t="shared" si="7"/>
        <v>Beverages</v>
      </c>
      <c r="Y52" s="16" t="s">
        <v>13</v>
      </c>
      <c r="AA52" s="1" t="s">
        <v>6</v>
      </c>
      <c r="AC52" s="5" t="str">
        <f t="shared" si="8"/>
        <v>ANDREW LITTLE</v>
      </c>
      <c r="AE52" s="1" t="s">
        <v>136</v>
      </c>
    </row>
    <row r="53" spans="2:31" x14ac:dyDescent="0.25">
      <c r="B53" s="6">
        <v>52</v>
      </c>
      <c r="C53" s="3" t="s">
        <v>137</v>
      </c>
      <c r="D53" s="4" t="str">
        <f t="shared" si="9"/>
        <v>MITCHELL CAMPBELL</v>
      </c>
      <c r="E53" s="6" t="str">
        <f t="shared" si="1"/>
        <v>MALE</v>
      </c>
      <c r="F53" s="6" t="str">
        <f t="shared" si="2"/>
        <v>HOUSEHOLD</v>
      </c>
      <c r="G53" s="6" t="str">
        <f t="shared" si="3"/>
        <v>TOILET PAPER</v>
      </c>
      <c r="H53" s="8">
        <v>5</v>
      </c>
      <c r="I53" s="8">
        <v>173</v>
      </c>
      <c r="J53" s="8">
        <f t="shared" si="4"/>
        <v>865</v>
      </c>
      <c r="K53" s="6" t="s">
        <v>9</v>
      </c>
      <c r="L53" s="9">
        <v>45814</v>
      </c>
      <c r="M53" s="1" t="str">
        <f t="shared" si="10"/>
        <v>IBADAN</v>
      </c>
      <c r="Q53" s="1" t="s">
        <v>25</v>
      </c>
      <c r="S53" s="1" t="str">
        <f t="shared" si="11"/>
        <v>Toilet Paper</v>
      </c>
      <c r="U53" s="1" t="s">
        <v>28</v>
      </c>
      <c r="W53" s="1" t="str">
        <f t="shared" si="7"/>
        <v>Household</v>
      </c>
      <c r="Y53" s="16" t="s">
        <v>24</v>
      </c>
      <c r="AA53" s="1" t="s">
        <v>19</v>
      </c>
      <c r="AC53" s="5" t="str">
        <f t="shared" si="8"/>
        <v>MITCHELL CAMPBELL</v>
      </c>
      <c r="AE53" s="1" t="s">
        <v>138</v>
      </c>
    </row>
    <row r="54" spans="2:31" x14ac:dyDescent="0.25">
      <c r="B54" s="6">
        <v>53</v>
      </c>
      <c r="C54" s="3" t="s">
        <v>139</v>
      </c>
      <c r="D54" s="4" t="str">
        <f t="shared" si="9"/>
        <v>MATTHEW SMITH</v>
      </c>
      <c r="E54" s="6" t="str">
        <f t="shared" si="1"/>
        <v>FEMALE</v>
      </c>
      <c r="F54" s="6" t="str">
        <f t="shared" si="2"/>
        <v>HOUSEHOLD</v>
      </c>
      <c r="G54" s="6" t="str">
        <f t="shared" si="3"/>
        <v>SOAP</v>
      </c>
      <c r="H54" s="8">
        <v>7</v>
      </c>
      <c r="I54" s="8">
        <v>710</v>
      </c>
      <c r="J54" s="8">
        <f t="shared" si="4"/>
        <v>4970</v>
      </c>
      <c r="K54" s="6" t="s">
        <v>15</v>
      </c>
      <c r="L54" s="9">
        <v>45822</v>
      </c>
      <c r="M54" s="1" t="str">
        <f t="shared" si="10"/>
        <v>IBADAN</v>
      </c>
      <c r="Q54" s="1" t="s">
        <v>25</v>
      </c>
      <c r="S54" s="1" t="str">
        <f t="shared" si="11"/>
        <v>Soap</v>
      </c>
      <c r="U54" s="1" t="s">
        <v>32</v>
      </c>
      <c r="W54" s="1" t="str">
        <f t="shared" si="7"/>
        <v>Household</v>
      </c>
      <c r="Y54" s="16" t="s">
        <v>24</v>
      </c>
      <c r="AA54" s="1" t="s">
        <v>6</v>
      </c>
      <c r="AC54" s="5" t="str">
        <f t="shared" si="8"/>
        <v>MATTHEW SMITH</v>
      </c>
      <c r="AE54" s="1" t="s">
        <v>140</v>
      </c>
    </row>
    <row r="55" spans="2:31" x14ac:dyDescent="0.25">
      <c r="B55" s="6">
        <v>54</v>
      </c>
      <c r="C55" s="3" t="s">
        <v>141</v>
      </c>
      <c r="D55" s="4" t="str">
        <f t="shared" si="9"/>
        <v>TAMARA GREEN</v>
      </c>
      <c r="E55" s="6" t="str">
        <f t="shared" si="1"/>
        <v>FEMALE</v>
      </c>
      <c r="F55" s="6" t="str">
        <f t="shared" si="2"/>
        <v>HOUSEHOLD</v>
      </c>
      <c r="G55" s="6" t="str">
        <f t="shared" si="3"/>
        <v>AIR FRESHENER</v>
      </c>
      <c r="H55" s="8">
        <v>5</v>
      </c>
      <c r="I55" s="8">
        <v>295</v>
      </c>
      <c r="J55" s="8">
        <f t="shared" si="4"/>
        <v>1475</v>
      </c>
      <c r="K55" s="6" t="s">
        <v>15</v>
      </c>
      <c r="L55" s="9">
        <v>45814</v>
      </c>
      <c r="M55" s="1" t="str">
        <f t="shared" si="10"/>
        <v>PORT HARCOURT</v>
      </c>
      <c r="Q55" s="1" t="s">
        <v>10</v>
      </c>
      <c r="S55" s="1" t="str">
        <f t="shared" si="11"/>
        <v>Air Freshener</v>
      </c>
      <c r="U55" s="1" t="s">
        <v>55</v>
      </c>
      <c r="W55" s="1" t="str">
        <f t="shared" si="7"/>
        <v>Household</v>
      </c>
      <c r="Y55" s="16" t="s">
        <v>24</v>
      </c>
      <c r="AA55" s="1" t="s">
        <v>6</v>
      </c>
      <c r="AC55" s="5" t="str">
        <f t="shared" si="8"/>
        <v>TAMARA GREEN</v>
      </c>
      <c r="AE55" s="1" t="s">
        <v>142</v>
      </c>
    </row>
    <row r="56" spans="2:31" x14ac:dyDescent="0.25">
      <c r="B56" s="6">
        <v>55</v>
      </c>
      <c r="C56" s="3" t="s">
        <v>143</v>
      </c>
      <c r="D56" s="4" t="str">
        <f t="shared" si="9"/>
        <v>MADISON WARD</v>
      </c>
      <c r="E56" s="6" t="str">
        <f t="shared" si="1"/>
        <v>MALE</v>
      </c>
      <c r="F56" s="6" t="str">
        <f t="shared" si="2"/>
        <v>BEVERAGES</v>
      </c>
      <c r="G56" s="6" t="str">
        <f t="shared" si="3"/>
        <v>JUICE</v>
      </c>
      <c r="H56" s="8">
        <v>3</v>
      </c>
      <c r="I56" s="8">
        <v>227</v>
      </c>
      <c r="J56" s="8">
        <f t="shared" si="4"/>
        <v>681</v>
      </c>
      <c r="K56" s="6" t="s">
        <v>20</v>
      </c>
      <c r="L56" s="9">
        <v>45818</v>
      </c>
      <c r="M56" s="1" t="str">
        <f t="shared" si="10"/>
        <v>IBADAN</v>
      </c>
      <c r="Q56" s="1" t="s">
        <v>25</v>
      </c>
      <c r="S56" s="1" t="str">
        <f t="shared" si="11"/>
        <v>Juice</v>
      </c>
      <c r="U56" s="1" t="s">
        <v>68</v>
      </c>
      <c r="W56" s="1" t="str">
        <f t="shared" si="7"/>
        <v>Beverages</v>
      </c>
      <c r="Y56" s="16" t="s">
        <v>13</v>
      </c>
      <c r="AA56" s="1" t="s">
        <v>19</v>
      </c>
      <c r="AC56" s="5" t="str">
        <f t="shared" si="8"/>
        <v>MADISON WARD</v>
      </c>
      <c r="AE56" s="1" t="s">
        <v>144</v>
      </c>
    </row>
    <row r="57" spans="2:31" x14ac:dyDescent="0.25">
      <c r="B57" s="6">
        <v>56</v>
      </c>
      <c r="C57" s="3" t="s">
        <v>145</v>
      </c>
      <c r="D57" s="4" t="str">
        <f t="shared" si="9"/>
        <v>DONNA HERRERA</v>
      </c>
      <c r="E57" s="6" t="str">
        <f t="shared" si="1"/>
        <v>FEMALE</v>
      </c>
      <c r="F57" s="6" t="str">
        <f t="shared" si="2"/>
        <v>BEVERAGES</v>
      </c>
      <c r="G57" s="6" t="str">
        <f t="shared" si="3"/>
        <v>PEPSI</v>
      </c>
      <c r="H57" s="8">
        <v>4</v>
      </c>
      <c r="I57" s="8">
        <v>777</v>
      </c>
      <c r="J57" s="8">
        <f t="shared" si="4"/>
        <v>3108</v>
      </c>
      <c r="K57" s="6" t="s">
        <v>42</v>
      </c>
      <c r="L57" s="9">
        <v>45832</v>
      </c>
      <c r="M57" s="1" t="str">
        <f t="shared" si="10"/>
        <v>ABUJA</v>
      </c>
      <c r="Q57" s="1" t="s">
        <v>58</v>
      </c>
      <c r="S57" s="1" t="str">
        <f t="shared" si="11"/>
        <v>Pepsi</v>
      </c>
      <c r="U57" s="1" t="s">
        <v>82</v>
      </c>
      <c r="W57" s="1" t="str">
        <f t="shared" si="7"/>
        <v>Beverages</v>
      </c>
      <c r="Y57" s="16" t="s">
        <v>13</v>
      </c>
      <c r="AA57" s="1" t="s">
        <v>6</v>
      </c>
      <c r="AC57" s="5" t="str">
        <f t="shared" si="8"/>
        <v>DONNA HERRERA</v>
      </c>
      <c r="AE57" s="1" t="s">
        <v>146</v>
      </c>
    </row>
    <row r="58" spans="2:31" x14ac:dyDescent="0.25">
      <c r="B58" s="6">
        <v>57</v>
      </c>
      <c r="C58" s="3" t="s">
        <v>147</v>
      </c>
      <c r="D58" s="4" t="str">
        <f t="shared" si="9"/>
        <v>LISA FOSTER</v>
      </c>
      <c r="E58" s="6" t="str">
        <f t="shared" si="1"/>
        <v>MALE</v>
      </c>
      <c r="F58" s="6" t="str">
        <f t="shared" si="2"/>
        <v>SNACKS</v>
      </c>
      <c r="G58" s="6" t="str">
        <f t="shared" si="3"/>
        <v>COOKIES</v>
      </c>
      <c r="H58" s="8">
        <v>6</v>
      </c>
      <c r="I58" s="8">
        <v>400</v>
      </c>
      <c r="J58" s="8">
        <f t="shared" si="4"/>
        <v>2400</v>
      </c>
      <c r="K58" s="6" t="s">
        <v>20</v>
      </c>
      <c r="L58" s="9">
        <v>45811</v>
      </c>
      <c r="M58" s="1" t="str">
        <f t="shared" si="10"/>
        <v>LAGOS</v>
      </c>
      <c r="Q58" s="1" t="s">
        <v>29</v>
      </c>
      <c r="S58" s="1" t="str">
        <f t="shared" si="11"/>
        <v>Cookies</v>
      </c>
      <c r="U58" s="1" t="s">
        <v>71</v>
      </c>
      <c r="W58" s="1" t="str">
        <f t="shared" si="7"/>
        <v>Snacks</v>
      </c>
      <c r="Y58" s="16" t="s">
        <v>7</v>
      </c>
      <c r="AA58" s="1" t="s">
        <v>19</v>
      </c>
      <c r="AC58" s="5" t="str">
        <f t="shared" si="8"/>
        <v>LISA FOSTER</v>
      </c>
      <c r="AE58" s="1" t="s">
        <v>148</v>
      </c>
    </row>
    <row r="59" spans="2:31" x14ac:dyDescent="0.25">
      <c r="B59" s="6">
        <v>58</v>
      </c>
      <c r="C59" s="3" t="s">
        <v>149</v>
      </c>
      <c r="D59" s="4" t="str">
        <f t="shared" ref="D59:D90" si="12">TRIM(AC59)</f>
        <v>JEFFREY JOHNSON</v>
      </c>
      <c r="E59" s="6" t="str">
        <f t="shared" si="1"/>
        <v>MALE</v>
      </c>
      <c r="F59" s="6" t="str">
        <f t="shared" si="2"/>
        <v>SNACKS</v>
      </c>
      <c r="G59" s="6" t="str">
        <f t="shared" si="3"/>
        <v>CHIN CHIN</v>
      </c>
      <c r="H59" s="8">
        <v>5</v>
      </c>
      <c r="I59" s="8">
        <v>364</v>
      </c>
      <c r="J59" s="8">
        <f t="shared" si="4"/>
        <v>1820</v>
      </c>
      <c r="K59" s="6" t="s">
        <v>20</v>
      </c>
      <c r="L59" s="9">
        <v>45828</v>
      </c>
      <c r="M59" s="1" t="str">
        <f t="shared" si="10"/>
        <v>BENIN CITY</v>
      </c>
      <c r="Q59" s="1" t="s">
        <v>16</v>
      </c>
      <c r="S59" s="1" t="str">
        <f t="shared" si="11"/>
        <v>Chin Chin</v>
      </c>
      <c r="U59" s="1" t="s">
        <v>41</v>
      </c>
      <c r="W59" s="1" t="str">
        <f t="shared" si="7"/>
        <v>Snacks</v>
      </c>
      <c r="Y59" s="16" t="s">
        <v>7</v>
      </c>
      <c r="AA59" s="1" t="s">
        <v>19</v>
      </c>
      <c r="AC59" s="5" t="str">
        <f t="shared" si="8"/>
        <v>JEFFREY JOHNSON</v>
      </c>
      <c r="AE59" s="1" t="s">
        <v>150</v>
      </c>
    </row>
    <row r="60" spans="2:31" x14ac:dyDescent="0.25">
      <c r="B60" s="6">
        <v>59</v>
      </c>
      <c r="C60" s="3" t="s">
        <v>151</v>
      </c>
      <c r="D60" s="4" t="str">
        <f t="shared" si="12"/>
        <v>STEVEN BOYD</v>
      </c>
      <c r="E60" s="6" t="str">
        <f t="shared" si="1"/>
        <v>MALE</v>
      </c>
      <c r="F60" s="6" t="str">
        <f t="shared" si="2"/>
        <v>HOUSEHOLD</v>
      </c>
      <c r="G60" s="6" t="str">
        <f t="shared" si="3"/>
        <v>AIR FRESHENER</v>
      </c>
      <c r="H60" s="8">
        <v>3</v>
      </c>
      <c r="I60" s="8">
        <v>825</v>
      </c>
      <c r="J60" s="8">
        <f t="shared" si="4"/>
        <v>2475</v>
      </c>
      <c r="K60" s="6" t="s">
        <v>9</v>
      </c>
      <c r="L60" s="9">
        <v>45836</v>
      </c>
      <c r="M60" s="1" t="str">
        <f t="shared" si="10"/>
        <v>LAGOS</v>
      </c>
      <c r="Q60" s="1" t="s">
        <v>29</v>
      </c>
      <c r="S60" s="1" t="str">
        <f t="shared" si="11"/>
        <v>Air Freshener</v>
      </c>
      <c r="U60" s="1" t="s">
        <v>55</v>
      </c>
      <c r="W60" s="1" t="str">
        <f t="shared" si="7"/>
        <v>Household</v>
      </c>
      <c r="Y60" s="16" t="s">
        <v>24</v>
      </c>
      <c r="AA60" s="1" t="s">
        <v>19</v>
      </c>
      <c r="AC60" s="5" t="str">
        <f t="shared" si="8"/>
        <v>STEVEN BOYD</v>
      </c>
      <c r="AE60" s="1" t="s">
        <v>152</v>
      </c>
    </row>
    <row r="61" spans="2:31" x14ac:dyDescent="0.25">
      <c r="B61" s="6">
        <v>60</v>
      </c>
      <c r="C61" s="3" t="s">
        <v>153</v>
      </c>
      <c r="D61" s="4" t="str">
        <f t="shared" si="12"/>
        <v>MICHAEL LAWRENCE</v>
      </c>
      <c r="E61" s="6" t="str">
        <f t="shared" si="1"/>
        <v>MALE</v>
      </c>
      <c r="F61" s="6" t="str">
        <f t="shared" si="2"/>
        <v>SNACKS</v>
      </c>
      <c r="G61" s="6" t="str">
        <f t="shared" si="3"/>
        <v>COOKIES</v>
      </c>
      <c r="H61" s="8">
        <v>7</v>
      </c>
      <c r="I61" s="8">
        <v>841</v>
      </c>
      <c r="J61" s="8">
        <f t="shared" si="4"/>
        <v>5887</v>
      </c>
      <c r="K61" s="6" t="s">
        <v>42</v>
      </c>
      <c r="L61" s="9">
        <v>45816</v>
      </c>
      <c r="M61" s="1" t="str">
        <f t="shared" si="10"/>
        <v>BENIN CITY</v>
      </c>
      <c r="Q61" s="1" t="s">
        <v>16</v>
      </c>
      <c r="S61" s="1" t="str">
        <f t="shared" si="11"/>
        <v>Cookies</v>
      </c>
      <c r="U61" s="1" t="s">
        <v>71</v>
      </c>
      <c r="W61" s="1" t="str">
        <f t="shared" si="7"/>
        <v>Snacks</v>
      </c>
      <c r="Y61" s="16" t="s">
        <v>7</v>
      </c>
      <c r="AA61" s="1" t="s">
        <v>19</v>
      </c>
      <c r="AC61" s="5" t="str">
        <f t="shared" si="8"/>
        <v>MICHAEL LAWRENCE</v>
      </c>
      <c r="AE61" s="1" t="s">
        <v>154</v>
      </c>
    </row>
    <row r="62" spans="2:31" x14ac:dyDescent="0.25">
      <c r="B62" s="6">
        <v>61</v>
      </c>
      <c r="C62" s="3" t="s">
        <v>155</v>
      </c>
      <c r="D62" s="4" t="str">
        <f t="shared" si="12"/>
        <v>MICHAEL VILLA</v>
      </c>
      <c r="E62" s="6" t="str">
        <f t="shared" si="1"/>
        <v>FEMALE</v>
      </c>
      <c r="F62" s="6" t="str">
        <f t="shared" si="2"/>
        <v>BEVERAGES</v>
      </c>
      <c r="G62" s="6" t="str">
        <f t="shared" si="3"/>
        <v>JUICE</v>
      </c>
      <c r="H62" s="8">
        <v>6</v>
      </c>
      <c r="I62" s="8">
        <v>54</v>
      </c>
      <c r="J62" s="8">
        <f t="shared" si="4"/>
        <v>324</v>
      </c>
      <c r="K62" s="6" t="s">
        <v>20</v>
      </c>
      <c r="L62" s="9">
        <v>45820</v>
      </c>
      <c r="M62" s="1" t="str">
        <f t="shared" si="10"/>
        <v>PORT HARCOURT</v>
      </c>
      <c r="Q62" s="1" t="s">
        <v>10</v>
      </c>
      <c r="S62" s="1" t="str">
        <f t="shared" si="11"/>
        <v>Juice</v>
      </c>
      <c r="U62" s="1" t="s">
        <v>68</v>
      </c>
      <c r="W62" s="1" t="str">
        <f t="shared" si="7"/>
        <v>Beverages</v>
      </c>
      <c r="Y62" s="16" t="s">
        <v>13</v>
      </c>
      <c r="AA62" s="1" t="s">
        <v>6</v>
      </c>
      <c r="AC62" s="5" t="str">
        <f t="shared" si="8"/>
        <v>MICHAEL VILLA</v>
      </c>
      <c r="AE62" s="1" t="s">
        <v>156</v>
      </c>
    </row>
    <row r="63" spans="2:31" x14ac:dyDescent="0.25">
      <c r="B63" s="6">
        <v>62</v>
      </c>
      <c r="C63" s="3" t="s">
        <v>157</v>
      </c>
      <c r="D63" s="4" t="str">
        <f t="shared" si="12"/>
        <v>JOSEPH JOHNSON</v>
      </c>
      <c r="E63" s="6" t="str">
        <f t="shared" si="1"/>
        <v>MALE</v>
      </c>
      <c r="F63" s="6" t="str">
        <f t="shared" si="2"/>
        <v>PERSONAL CARE</v>
      </c>
      <c r="G63" s="6" t="str">
        <f t="shared" si="3"/>
        <v>DEODORANT</v>
      </c>
      <c r="H63" s="8">
        <v>1</v>
      </c>
      <c r="I63" s="8">
        <v>431</v>
      </c>
      <c r="J63" s="8">
        <f t="shared" si="4"/>
        <v>431</v>
      </c>
      <c r="K63" s="6" t="s">
        <v>15</v>
      </c>
      <c r="L63" s="9">
        <v>45833</v>
      </c>
      <c r="M63" s="1" t="str">
        <f t="shared" si="10"/>
        <v>PORT HARCOURT</v>
      </c>
      <c r="Q63" s="1" t="s">
        <v>10</v>
      </c>
      <c r="S63" s="1" t="str">
        <f t="shared" si="11"/>
        <v>Deodorant</v>
      </c>
      <c r="U63" s="1" t="s">
        <v>159</v>
      </c>
      <c r="W63" s="1" t="str">
        <f t="shared" si="7"/>
        <v>Personal Care</v>
      </c>
      <c r="Y63" s="16" t="s">
        <v>555</v>
      </c>
      <c r="AA63" s="1" t="s">
        <v>19</v>
      </c>
      <c r="AC63" s="5" t="str">
        <f t="shared" si="8"/>
        <v>JOSEPH JOHNSON</v>
      </c>
      <c r="AE63" s="1" t="s">
        <v>158</v>
      </c>
    </row>
    <row r="64" spans="2:31" x14ac:dyDescent="0.25">
      <c r="B64" s="6">
        <v>63</v>
      </c>
      <c r="C64" s="3" t="s">
        <v>160</v>
      </c>
      <c r="D64" s="4" t="str">
        <f t="shared" si="12"/>
        <v>MICHAEL SHARP</v>
      </c>
      <c r="E64" s="6" t="str">
        <f t="shared" si="1"/>
        <v>FEMALE</v>
      </c>
      <c r="F64" s="6" t="str">
        <f t="shared" si="2"/>
        <v>SNACKS</v>
      </c>
      <c r="G64" s="6" t="str">
        <f t="shared" si="3"/>
        <v>COOKIES</v>
      </c>
      <c r="H64" s="8">
        <v>3</v>
      </c>
      <c r="I64" s="8">
        <v>9450</v>
      </c>
      <c r="J64" s="8">
        <f t="shared" si="4"/>
        <v>28350</v>
      </c>
      <c r="K64" s="6" t="s">
        <v>15</v>
      </c>
      <c r="L64" s="9">
        <v>45830</v>
      </c>
      <c r="M64" s="1" t="str">
        <f t="shared" si="10"/>
        <v>BENIN CITY</v>
      </c>
      <c r="Q64" s="1" t="s">
        <v>16</v>
      </c>
      <c r="S64" s="1" t="str">
        <f t="shared" si="11"/>
        <v>Cookies</v>
      </c>
      <c r="U64" s="1" t="s">
        <v>71</v>
      </c>
      <c r="W64" s="1" t="str">
        <f t="shared" si="7"/>
        <v>Snacks</v>
      </c>
      <c r="Y64" s="16" t="s">
        <v>7</v>
      </c>
      <c r="AA64" s="1" t="s">
        <v>6</v>
      </c>
      <c r="AC64" s="5" t="str">
        <f t="shared" si="8"/>
        <v>MICHAEL SHARP</v>
      </c>
      <c r="AE64" s="1" t="s">
        <v>161</v>
      </c>
    </row>
    <row r="65" spans="2:31" x14ac:dyDescent="0.25">
      <c r="B65" s="6">
        <v>64</v>
      </c>
      <c r="C65" s="3" t="s">
        <v>162</v>
      </c>
      <c r="D65" s="4" t="str">
        <f t="shared" si="12"/>
        <v>KATRINA ANDREWS</v>
      </c>
      <c r="E65" s="6" t="str">
        <f t="shared" si="1"/>
        <v>MALE</v>
      </c>
      <c r="F65" s="6" t="str">
        <f t="shared" si="2"/>
        <v>PERSONAL CARE</v>
      </c>
      <c r="G65" s="6" t="str">
        <f t="shared" si="3"/>
        <v>TOOTHPASTE</v>
      </c>
      <c r="H65" s="8">
        <v>5</v>
      </c>
      <c r="I65" s="8">
        <v>761</v>
      </c>
      <c r="J65" s="8">
        <f t="shared" si="4"/>
        <v>3805</v>
      </c>
      <c r="K65" s="6" t="s">
        <v>9</v>
      </c>
      <c r="L65" s="9">
        <v>45823</v>
      </c>
      <c r="M65" s="1" t="str">
        <f t="shared" si="10"/>
        <v>KANO</v>
      </c>
      <c r="Q65" s="1" t="s">
        <v>72</v>
      </c>
      <c r="S65" s="1" t="str">
        <f t="shared" si="11"/>
        <v>Toothpaste</v>
      </c>
      <c r="U65" s="1" t="s">
        <v>164</v>
      </c>
      <c r="W65" s="1" t="str">
        <f t="shared" si="7"/>
        <v>Personal Care</v>
      </c>
      <c r="Y65" s="16" t="s">
        <v>555</v>
      </c>
      <c r="AA65" s="1" t="s">
        <v>19</v>
      </c>
      <c r="AC65" s="5" t="str">
        <f t="shared" si="8"/>
        <v>KATRINA ANDREWS</v>
      </c>
      <c r="AE65" s="1" t="s">
        <v>163</v>
      </c>
    </row>
    <row r="66" spans="2:31" x14ac:dyDescent="0.25">
      <c r="B66" s="6">
        <v>65</v>
      </c>
      <c r="C66" s="3" t="s">
        <v>165</v>
      </c>
      <c r="D66" s="4" t="str">
        <f t="shared" si="12"/>
        <v>BETH RUIZ</v>
      </c>
      <c r="E66" s="6" t="str">
        <f t="shared" ref="E66:E129" si="13">UPPER(AA66)</f>
        <v>FEMALE</v>
      </c>
      <c r="F66" s="6" t="str">
        <f t="shared" ref="F66:F129" si="14">UPPER(W66)</f>
        <v>SNACKS</v>
      </c>
      <c r="G66" s="6" t="str">
        <f t="shared" ref="G66:G129" si="15">UPPER(S66)</f>
        <v>BISCUITS</v>
      </c>
      <c r="H66" s="8">
        <v>5</v>
      </c>
      <c r="I66" s="8">
        <v>280</v>
      </c>
      <c r="J66" s="8">
        <f t="shared" ref="J66:J129" si="16">I66*H66</f>
        <v>1400</v>
      </c>
      <c r="K66" s="6" t="s">
        <v>20</v>
      </c>
      <c r="L66" s="9">
        <v>45813</v>
      </c>
      <c r="M66" s="1" t="str">
        <f t="shared" ref="M66:M75" si="17">UPPER(Q66)</f>
        <v>ABUJA</v>
      </c>
      <c r="Q66" s="1" t="s">
        <v>58</v>
      </c>
      <c r="S66" s="1" t="str">
        <f t="shared" ref="S66:S97" si="18">TRIM(U66)</f>
        <v>Biscuits</v>
      </c>
      <c r="U66" s="1" t="s">
        <v>8</v>
      </c>
      <c r="W66" s="1" t="str">
        <f t="shared" ref="W66:W129" si="19">TRIM(Y66)</f>
        <v>Snacks</v>
      </c>
      <c r="Y66" s="16" t="s">
        <v>7</v>
      </c>
      <c r="AA66" s="1" t="s">
        <v>6</v>
      </c>
      <c r="AC66" s="5" t="str">
        <f t="shared" ref="AC66:AC129" si="20">UPPER(AE66)</f>
        <v>BETH RUIZ</v>
      </c>
      <c r="AE66" s="1" t="s">
        <v>166</v>
      </c>
    </row>
    <row r="67" spans="2:31" x14ac:dyDescent="0.25">
      <c r="B67" s="6">
        <v>66</v>
      </c>
      <c r="C67" s="3" t="s">
        <v>167</v>
      </c>
      <c r="D67" s="4" t="str">
        <f t="shared" si="12"/>
        <v>ALEXIS PENA</v>
      </c>
      <c r="E67" s="6" t="str">
        <f t="shared" si="13"/>
        <v>FEMALE</v>
      </c>
      <c r="F67" s="6" t="str">
        <f t="shared" si="14"/>
        <v>HOUSEHOLD</v>
      </c>
      <c r="G67" s="6" t="str">
        <f t="shared" si="15"/>
        <v>AIR FRESHENER</v>
      </c>
      <c r="H67" s="8">
        <v>4</v>
      </c>
      <c r="I67" s="8">
        <v>528</v>
      </c>
      <c r="J67" s="8">
        <f t="shared" si="16"/>
        <v>2112</v>
      </c>
      <c r="K67" s="6" t="s">
        <v>15</v>
      </c>
      <c r="L67" s="9">
        <v>45837</v>
      </c>
      <c r="M67" s="1" t="str">
        <f t="shared" si="17"/>
        <v>BENIN CITY</v>
      </c>
      <c r="Q67" s="1" t="s">
        <v>16</v>
      </c>
      <c r="S67" s="1" t="str">
        <f t="shared" si="18"/>
        <v>Air Freshener</v>
      </c>
      <c r="U67" s="1" t="s">
        <v>55</v>
      </c>
      <c r="W67" s="1" t="str">
        <f t="shared" si="19"/>
        <v>Household</v>
      </c>
      <c r="Y67" s="16" t="s">
        <v>24</v>
      </c>
      <c r="AA67" s="1" t="s">
        <v>6</v>
      </c>
      <c r="AC67" s="5" t="str">
        <f t="shared" si="20"/>
        <v>ALEXIS PENA</v>
      </c>
      <c r="AE67" s="1" t="s">
        <v>168</v>
      </c>
    </row>
    <row r="68" spans="2:31" x14ac:dyDescent="0.25">
      <c r="B68" s="6">
        <v>67</v>
      </c>
      <c r="C68" s="3" t="s">
        <v>169</v>
      </c>
      <c r="D68" s="4" t="str">
        <f t="shared" si="12"/>
        <v>KEITH CHANG</v>
      </c>
      <c r="E68" s="6" t="str">
        <f t="shared" si="13"/>
        <v>MALE</v>
      </c>
      <c r="F68" s="6" t="str">
        <f t="shared" si="14"/>
        <v>HOUSEHOLD</v>
      </c>
      <c r="G68" s="6" t="str">
        <f t="shared" si="15"/>
        <v>AIR FRESHENER</v>
      </c>
      <c r="H68" s="8">
        <v>4</v>
      </c>
      <c r="I68" s="8">
        <v>212</v>
      </c>
      <c r="J68" s="8">
        <f t="shared" si="16"/>
        <v>848</v>
      </c>
      <c r="K68" s="6" t="s">
        <v>20</v>
      </c>
      <c r="L68" s="9">
        <v>45817</v>
      </c>
      <c r="M68" s="1" t="str">
        <f t="shared" si="17"/>
        <v>PORT HARCOURT</v>
      </c>
      <c r="Q68" s="1" t="s">
        <v>10</v>
      </c>
      <c r="S68" s="1" t="str">
        <f t="shared" si="18"/>
        <v>Air Freshener</v>
      </c>
      <c r="U68" s="1" t="s">
        <v>55</v>
      </c>
      <c r="W68" s="1" t="str">
        <f t="shared" si="19"/>
        <v>Household</v>
      </c>
      <c r="Y68" s="16" t="s">
        <v>24</v>
      </c>
      <c r="AA68" s="1" t="s">
        <v>19</v>
      </c>
      <c r="AC68" s="5" t="str">
        <f t="shared" si="20"/>
        <v>KEITH CHANG</v>
      </c>
      <c r="AE68" s="1" t="s">
        <v>170</v>
      </c>
    </row>
    <row r="69" spans="2:31" x14ac:dyDescent="0.25">
      <c r="B69" s="6">
        <v>68</v>
      </c>
      <c r="C69" s="3" t="s">
        <v>171</v>
      </c>
      <c r="D69" s="4" t="str">
        <f t="shared" si="12"/>
        <v>KAITLYN FIGUEROA</v>
      </c>
      <c r="E69" s="6" t="str">
        <f t="shared" si="13"/>
        <v>FEMALE</v>
      </c>
      <c r="F69" s="6" t="str">
        <f t="shared" si="14"/>
        <v>BEVERAGES</v>
      </c>
      <c r="G69" s="6" t="str">
        <f t="shared" si="15"/>
        <v>PEPSI</v>
      </c>
      <c r="H69" s="8">
        <v>9</v>
      </c>
      <c r="I69" s="8">
        <v>713</v>
      </c>
      <c r="J69" s="8">
        <f t="shared" si="16"/>
        <v>6417</v>
      </c>
      <c r="K69" s="6" t="s">
        <v>42</v>
      </c>
      <c r="L69" s="9">
        <v>45823</v>
      </c>
      <c r="M69" s="1" t="str">
        <f t="shared" si="17"/>
        <v>BENIN CITY</v>
      </c>
      <c r="Q69" s="1" t="s">
        <v>16</v>
      </c>
      <c r="S69" s="1" t="str">
        <f t="shared" si="18"/>
        <v>Pepsi</v>
      </c>
      <c r="U69" s="1" t="s">
        <v>82</v>
      </c>
      <c r="W69" s="1" t="str">
        <f t="shared" si="19"/>
        <v>Beverages</v>
      </c>
      <c r="Y69" s="16" t="s">
        <v>13</v>
      </c>
      <c r="AA69" s="1" t="s">
        <v>6</v>
      </c>
      <c r="AC69" s="5" t="str">
        <f t="shared" si="20"/>
        <v>KAITLYN FIGUEROA</v>
      </c>
      <c r="AE69" s="1" t="s">
        <v>172</v>
      </c>
    </row>
    <row r="70" spans="2:31" x14ac:dyDescent="0.25">
      <c r="B70" s="6">
        <v>69</v>
      </c>
      <c r="C70" s="3" t="s">
        <v>173</v>
      </c>
      <c r="D70" s="4" t="str">
        <f t="shared" si="12"/>
        <v>SCOTT WEST</v>
      </c>
      <c r="E70" s="6" t="str">
        <f t="shared" si="13"/>
        <v>MALE</v>
      </c>
      <c r="F70" s="6" t="str">
        <f t="shared" si="14"/>
        <v>HOUSEHOLD</v>
      </c>
      <c r="G70" s="6" t="str">
        <f t="shared" si="15"/>
        <v>TOILET PAPER</v>
      </c>
      <c r="H70" s="8">
        <v>10</v>
      </c>
      <c r="I70" s="8">
        <v>461</v>
      </c>
      <c r="J70" s="8">
        <f t="shared" si="16"/>
        <v>4610</v>
      </c>
      <c r="K70" s="6" t="s">
        <v>42</v>
      </c>
      <c r="L70" s="9">
        <v>45812</v>
      </c>
      <c r="M70" s="1" t="str">
        <f t="shared" si="17"/>
        <v>ABUJA</v>
      </c>
      <c r="Q70" s="1" t="s">
        <v>58</v>
      </c>
      <c r="S70" s="1" t="str">
        <f t="shared" si="18"/>
        <v>Toilet Paper</v>
      </c>
      <c r="U70" s="1" t="s">
        <v>28</v>
      </c>
      <c r="W70" s="1" t="str">
        <f t="shared" si="19"/>
        <v>Household</v>
      </c>
      <c r="Y70" s="16" t="s">
        <v>24</v>
      </c>
      <c r="AA70" s="1" t="s">
        <v>19</v>
      </c>
      <c r="AC70" s="5" t="str">
        <f t="shared" si="20"/>
        <v>SCOTT WEST</v>
      </c>
      <c r="AE70" s="1" t="s">
        <v>174</v>
      </c>
    </row>
    <row r="71" spans="2:31" x14ac:dyDescent="0.25">
      <c r="B71" s="6">
        <v>70</v>
      </c>
      <c r="C71" s="3" t="s">
        <v>175</v>
      </c>
      <c r="D71" s="4" t="str">
        <f t="shared" si="12"/>
        <v>RACHAEL SHEPHERD</v>
      </c>
      <c r="E71" s="6" t="str">
        <f t="shared" si="13"/>
        <v>FEMALE</v>
      </c>
      <c r="F71" s="6" t="str">
        <f t="shared" si="14"/>
        <v>SNACKS</v>
      </c>
      <c r="G71" s="6" t="str">
        <f t="shared" si="15"/>
        <v>CHIPS</v>
      </c>
      <c r="H71" s="8">
        <v>8</v>
      </c>
      <c r="I71" s="8">
        <v>472</v>
      </c>
      <c r="J71" s="8">
        <f t="shared" si="16"/>
        <v>3776</v>
      </c>
      <c r="K71" s="6" t="s">
        <v>42</v>
      </c>
      <c r="L71" s="9">
        <v>45823</v>
      </c>
      <c r="M71" s="1" t="str">
        <f t="shared" si="17"/>
        <v>BENIN CITY</v>
      </c>
      <c r="Q71" s="1" t="s">
        <v>16</v>
      </c>
      <c r="S71" s="1" t="str">
        <f t="shared" si="18"/>
        <v>Chips</v>
      </c>
      <c r="U71" s="1" t="s">
        <v>103</v>
      </c>
      <c r="W71" s="1" t="str">
        <f t="shared" si="19"/>
        <v>Snacks</v>
      </c>
      <c r="Y71" s="16" t="s">
        <v>7</v>
      </c>
      <c r="AA71" s="1" t="s">
        <v>6</v>
      </c>
      <c r="AC71" s="5" t="str">
        <f t="shared" si="20"/>
        <v>RACHAEL SHEPHERD</v>
      </c>
      <c r="AE71" s="1" t="s">
        <v>176</v>
      </c>
    </row>
    <row r="72" spans="2:31" x14ac:dyDescent="0.25">
      <c r="B72" s="6">
        <v>71</v>
      </c>
      <c r="C72" s="3" t="s">
        <v>177</v>
      </c>
      <c r="D72" s="4" t="str">
        <f t="shared" si="12"/>
        <v>JENNIFER FLOYD</v>
      </c>
      <c r="E72" s="6" t="str">
        <f t="shared" si="13"/>
        <v>FEMALE</v>
      </c>
      <c r="F72" s="6" t="str">
        <f t="shared" si="14"/>
        <v>HOUSEHOLD</v>
      </c>
      <c r="G72" s="6" t="str">
        <f t="shared" si="15"/>
        <v>TOILET PAPER</v>
      </c>
      <c r="H72" s="8">
        <v>6</v>
      </c>
      <c r="I72" s="8">
        <v>599</v>
      </c>
      <c r="J72" s="8">
        <f t="shared" si="16"/>
        <v>3594</v>
      </c>
      <c r="K72" s="6" t="s">
        <v>20</v>
      </c>
      <c r="L72" s="9">
        <v>45831</v>
      </c>
      <c r="M72" s="1" t="str">
        <f t="shared" si="17"/>
        <v>ABUJA</v>
      </c>
      <c r="Q72" s="1" t="s">
        <v>58</v>
      </c>
      <c r="S72" s="1" t="str">
        <f t="shared" si="18"/>
        <v>Toilet Paper</v>
      </c>
      <c r="U72" s="1" t="s">
        <v>28</v>
      </c>
      <c r="W72" s="1" t="str">
        <f t="shared" si="19"/>
        <v>Household</v>
      </c>
      <c r="Y72" s="16" t="s">
        <v>24</v>
      </c>
      <c r="AA72" s="1" t="s">
        <v>6</v>
      </c>
      <c r="AC72" s="5" t="str">
        <f t="shared" si="20"/>
        <v>JENNIFER FLOYD</v>
      </c>
      <c r="AE72" s="1" t="s">
        <v>178</v>
      </c>
    </row>
    <row r="73" spans="2:31" x14ac:dyDescent="0.25">
      <c r="B73" s="6">
        <v>72</v>
      </c>
      <c r="C73" s="3" t="s">
        <v>179</v>
      </c>
      <c r="D73" s="4" t="str">
        <f t="shared" si="12"/>
        <v>PHILIP HARMON</v>
      </c>
      <c r="E73" s="6" t="str">
        <f t="shared" si="13"/>
        <v>MALE</v>
      </c>
      <c r="F73" s="6" t="str">
        <f t="shared" si="14"/>
        <v>SNACKS</v>
      </c>
      <c r="G73" s="6" t="str">
        <f t="shared" si="15"/>
        <v>GRANOLA BAR</v>
      </c>
      <c r="H73" s="8">
        <v>9</v>
      </c>
      <c r="I73" s="8">
        <v>927</v>
      </c>
      <c r="J73" s="8">
        <f t="shared" si="16"/>
        <v>8343</v>
      </c>
      <c r="K73" s="6" t="s">
        <v>42</v>
      </c>
      <c r="L73" s="9">
        <v>45812</v>
      </c>
      <c r="M73" s="1" t="str">
        <f t="shared" si="17"/>
        <v>ABUJA</v>
      </c>
      <c r="Q73" s="1" t="s">
        <v>58</v>
      </c>
      <c r="S73" s="1" t="str">
        <f t="shared" si="18"/>
        <v>Granola Bar</v>
      </c>
      <c r="U73" s="1" t="s">
        <v>92</v>
      </c>
      <c r="W73" s="1" t="str">
        <f t="shared" si="19"/>
        <v>Snacks</v>
      </c>
      <c r="Y73" s="16" t="s">
        <v>7</v>
      </c>
      <c r="AA73" s="1" t="s">
        <v>19</v>
      </c>
      <c r="AC73" s="5" t="str">
        <f t="shared" si="20"/>
        <v>PHILIP HARMON</v>
      </c>
      <c r="AE73" s="1" t="s">
        <v>180</v>
      </c>
    </row>
    <row r="74" spans="2:31" x14ac:dyDescent="0.25">
      <c r="B74" s="6">
        <v>73</v>
      </c>
      <c r="C74" s="3" t="s">
        <v>181</v>
      </c>
      <c r="D74" s="4" t="str">
        <f t="shared" si="12"/>
        <v>GARY WATSON</v>
      </c>
      <c r="E74" s="6" t="str">
        <f t="shared" si="13"/>
        <v>FEMALE</v>
      </c>
      <c r="F74" s="6" t="str">
        <f t="shared" si="14"/>
        <v>HOUSEHOLD</v>
      </c>
      <c r="G74" s="6" t="str">
        <f t="shared" si="15"/>
        <v>TOILET PAPER</v>
      </c>
      <c r="H74" s="8">
        <v>6</v>
      </c>
      <c r="I74" s="8">
        <v>717</v>
      </c>
      <c r="J74" s="8">
        <f t="shared" si="16"/>
        <v>4302</v>
      </c>
      <c r="K74" s="6" t="s">
        <v>42</v>
      </c>
      <c r="L74" s="9">
        <v>45824</v>
      </c>
      <c r="M74" s="1" t="str">
        <f t="shared" si="17"/>
        <v>LAGOS</v>
      </c>
      <c r="Q74" s="1" t="s">
        <v>29</v>
      </c>
      <c r="S74" s="1" t="str">
        <f t="shared" si="18"/>
        <v>Toilet Paper</v>
      </c>
      <c r="U74" s="1" t="s">
        <v>28</v>
      </c>
      <c r="W74" s="1" t="str">
        <f t="shared" si="19"/>
        <v>Household</v>
      </c>
      <c r="Y74" s="16" t="s">
        <v>24</v>
      </c>
      <c r="AA74" s="1" t="s">
        <v>6</v>
      </c>
      <c r="AC74" s="5" t="str">
        <f t="shared" si="20"/>
        <v>GARY WATSON</v>
      </c>
      <c r="AE74" s="1" t="s">
        <v>182</v>
      </c>
    </row>
    <row r="75" spans="2:31" x14ac:dyDescent="0.25">
      <c r="B75" s="6">
        <v>74</v>
      </c>
      <c r="C75" s="3" t="s">
        <v>183</v>
      </c>
      <c r="D75" s="4" t="str">
        <f t="shared" si="12"/>
        <v>BETH LOPEZ</v>
      </c>
      <c r="E75" s="6" t="str">
        <f t="shared" si="13"/>
        <v>MALE</v>
      </c>
      <c r="F75" s="6" t="str">
        <f t="shared" si="14"/>
        <v>HOUSEHOLD</v>
      </c>
      <c r="G75" s="6" t="str">
        <f t="shared" si="15"/>
        <v>DETERGENT</v>
      </c>
      <c r="H75" s="8">
        <v>1</v>
      </c>
      <c r="I75" s="8">
        <v>106</v>
      </c>
      <c r="J75" s="8">
        <f t="shared" si="16"/>
        <v>106</v>
      </c>
      <c r="K75" s="6" t="s">
        <v>9</v>
      </c>
      <c r="L75" s="9">
        <v>45817</v>
      </c>
      <c r="M75" s="1" t="str">
        <f t="shared" si="17"/>
        <v>BENIN CITY</v>
      </c>
      <c r="Q75" s="1" t="s">
        <v>16</v>
      </c>
      <c r="S75" s="1" t="str">
        <f t="shared" si="18"/>
        <v>Detergent</v>
      </c>
      <c r="U75" s="1" t="s">
        <v>63</v>
      </c>
      <c r="W75" s="1" t="str">
        <f t="shared" si="19"/>
        <v>Household</v>
      </c>
      <c r="Y75" s="16" t="s">
        <v>24</v>
      </c>
      <c r="AA75" s="1" t="s">
        <v>19</v>
      </c>
      <c r="AC75" s="5" t="str">
        <f t="shared" si="20"/>
        <v>BETH LOPEZ</v>
      </c>
      <c r="AE75" s="1" t="s">
        <v>184</v>
      </c>
    </row>
    <row r="76" spans="2:31" x14ac:dyDescent="0.25">
      <c r="B76" s="6">
        <v>75</v>
      </c>
      <c r="C76" s="3" t="s">
        <v>185</v>
      </c>
      <c r="D76" s="4" t="str">
        <f t="shared" si="12"/>
        <v>MIGUEL CHRISTIAN</v>
      </c>
      <c r="E76" s="6" t="str">
        <f t="shared" si="13"/>
        <v>FEMALE</v>
      </c>
      <c r="F76" s="6" t="str">
        <f t="shared" si="14"/>
        <v>PERSONAL CARE</v>
      </c>
      <c r="G76" s="6" t="str">
        <f t="shared" si="15"/>
        <v>SHAMPOO</v>
      </c>
      <c r="H76" s="8">
        <v>2</v>
      </c>
      <c r="I76" s="8">
        <v>252</v>
      </c>
      <c r="J76" s="8">
        <f t="shared" si="16"/>
        <v>504</v>
      </c>
      <c r="K76" s="6" t="s">
        <v>9</v>
      </c>
      <c r="L76" s="9">
        <v>45828</v>
      </c>
      <c r="M76" s="1" t="s">
        <v>535</v>
      </c>
      <c r="Q76" s="1" t="s">
        <v>58</v>
      </c>
      <c r="S76" s="1" t="str">
        <f t="shared" si="18"/>
        <v>Shampoo</v>
      </c>
      <c r="U76" s="1" t="s">
        <v>38</v>
      </c>
      <c r="W76" s="1" t="str">
        <f t="shared" si="19"/>
        <v>Personal Care</v>
      </c>
      <c r="Y76" s="16" t="s">
        <v>555</v>
      </c>
      <c r="AA76" s="1" t="s">
        <v>6</v>
      </c>
      <c r="AC76" s="5" t="str">
        <f t="shared" si="20"/>
        <v>MIGUEL CHRISTIAN</v>
      </c>
      <c r="AE76" s="1" t="s">
        <v>186</v>
      </c>
    </row>
    <row r="77" spans="2:31" x14ac:dyDescent="0.25">
      <c r="B77" s="6">
        <v>76</v>
      </c>
      <c r="C77" s="3" t="s">
        <v>187</v>
      </c>
      <c r="D77" s="4" t="str">
        <f t="shared" si="12"/>
        <v>DAVID WHITE</v>
      </c>
      <c r="E77" s="6" t="str">
        <f t="shared" si="13"/>
        <v>FEMALE</v>
      </c>
      <c r="F77" s="6" t="str">
        <f t="shared" si="14"/>
        <v>BEVERAGES</v>
      </c>
      <c r="G77" s="6" t="str">
        <f t="shared" si="15"/>
        <v>PEPSI</v>
      </c>
      <c r="H77" s="8">
        <v>2</v>
      </c>
      <c r="I77" s="8">
        <v>735</v>
      </c>
      <c r="J77" s="8">
        <f t="shared" si="16"/>
        <v>1470</v>
      </c>
      <c r="K77" s="6" t="s">
        <v>42</v>
      </c>
      <c r="L77" s="9">
        <v>45839</v>
      </c>
      <c r="M77" s="1" t="str">
        <f t="shared" ref="M77:M106" si="21">UPPER(Q77)</f>
        <v>KANO</v>
      </c>
      <c r="Q77" s="1" t="s">
        <v>72</v>
      </c>
      <c r="S77" s="1" t="str">
        <f t="shared" si="18"/>
        <v>Pepsi</v>
      </c>
      <c r="U77" s="1" t="s">
        <v>82</v>
      </c>
      <c r="W77" s="1" t="str">
        <f t="shared" si="19"/>
        <v>Beverages</v>
      </c>
      <c r="Y77" s="16" t="s">
        <v>13</v>
      </c>
      <c r="AA77" s="1" t="s">
        <v>6</v>
      </c>
      <c r="AC77" s="5" t="str">
        <f t="shared" si="20"/>
        <v>DAVID WHITE</v>
      </c>
      <c r="AE77" s="1" t="s">
        <v>188</v>
      </c>
    </row>
    <row r="78" spans="2:31" x14ac:dyDescent="0.25">
      <c r="B78" s="6">
        <v>77</v>
      </c>
      <c r="C78" s="3" t="s">
        <v>189</v>
      </c>
      <c r="D78" s="4" t="str">
        <f t="shared" si="12"/>
        <v>CRYSTAL HORTON</v>
      </c>
      <c r="E78" s="6" t="str">
        <f t="shared" si="13"/>
        <v>FEMALE</v>
      </c>
      <c r="F78" s="6" t="str">
        <f t="shared" si="14"/>
        <v>SNACKS</v>
      </c>
      <c r="G78" s="6" t="str">
        <f t="shared" si="15"/>
        <v>GRANOLA BAR</v>
      </c>
      <c r="H78" s="8">
        <v>3</v>
      </c>
      <c r="I78" s="8">
        <v>829</v>
      </c>
      <c r="J78" s="8">
        <f t="shared" si="16"/>
        <v>2487</v>
      </c>
      <c r="K78" s="6" t="s">
        <v>15</v>
      </c>
      <c r="L78" s="9">
        <v>45823</v>
      </c>
      <c r="M78" s="1" t="str">
        <f t="shared" si="21"/>
        <v>KANO</v>
      </c>
      <c r="Q78" s="1" t="s">
        <v>72</v>
      </c>
      <c r="S78" s="1" t="str">
        <f t="shared" si="18"/>
        <v>Granola Bar</v>
      </c>
      <c r="U78" s="1" t="s">
        <v>92</v>
      </c>
      <c r="W78" s="1" t="str">
        <f t="shared" si="19"/>
        <v>Snacks</v>
      </c>
      <c r="Y78" s="16" t="s">
        <v>7</v>
      </c>
      <c r="AA78" s="1" t="s">
        <v>6</v>
      </c>
      <c r="AC78" s="5" t="str">
        <f t="shared" si="20"/>
        <v>CRYSTAL HORTON</v>
      </c>
      <c r="AE78" s="1" t="s">
        <v>190</v>
      </c>
    </row>
    <row r="79" spans="2:31" x14ac:dyDescent="0.25">
      <c r="B79" s="6">
        <v>78</v>
      </c>
      <c r="C79" s="3" t="s">
        <v>191</v>
      </c>
      <c r="D79" s="4" t="str">
        <f t="shared" si="12"/>
        <v>MELISSA CLARKE DVM</v>
      </c>
      <c r="E79" s="6" t="str">
        <f t="shared" si="13"/>
        <v>MALE</v>
      </c>
      <c r="F79" s="6" t="str">
        <f t="shared" si="14"/>
        <v>PERSONAL CARE</v>
      </c>
      <c r="G79" s="6" t="str">
        <f t="shared" si="15"/>
        <v>LOTION</v>
      </c>
      <c r="H79" s="8">
        <v>1</v>
      </c>
      <c r="I79" s="8">
        <v>187</v>
      </c>
      <c r="J79" s="8">
        <f t="shared" si="16"/>
        <v>187</v>
      </c>
      <c r="K79" s="6" t="s">
        <v>9</v>
      </c>
      <c r="L79" s="9">
        <v>45811</v>
      </c>
      <c r="M79" s="1" t="str">
        <f t="shared" si="21"/>
        <v>ABUJA</v>
      </c>
      <c r="Q79" s="1" t="s">
        <v>58</v>
      </c>
      <c r="S79" s="1" t="str">
        <f t="shared" si="18"/>
        <v>Lotion</v>
      </c>
      <c r="U79" s="1" t="s">
        <v>49</v>
      </c>
      <c r="W79" s="1" t="str">
        <f t="shared" si="19"/>
        <v>Personal Care</v>
      </c>
      <c r="Y79" s="16" t="s">
        <v>555</v>
      </c>
      <c r="AA79" s="1" t="s">
        <v>19</v>
      </c>
      <c r="AC79" s="5" t="str">
        <f t="shared" si="20"/>
        <v>MELISSA CLARKE DVM</v>
      </c>
      <c r="AE79" s="1" t="s">
        <v>192</v>
      </c>
    </row>
    <row r="80" spans="2:31" x14ac:dyDescent="0.25">
      <c r="B80" s="6">
        <v>79</v>
      </c>
      <c r="C80" s="3" t="s">
        <v>193</v>
      </c>
      <c r="D80" s="4" t="str">
        <f t="shared" si="12"/>
        <v>JOHN EVANS</v>
      </c>
      <c r="E80" s="6" t="str">
        <f t="shared" si="13"/>
        <v>MALE</v>
      </c>
      <c r="F80" s="6" t="str">
        <f t="shared" si="14"/>
        <v>BEVERAGES</v>
      </c>
      <c r="G80" s="6" t="str">
        <f t="shared" si="15"/>
        <v>JUICE</v>
      </c>
      <c r="H80" s="8">
        <v>1</v>
      </c>
      <c r="I80" s="8">
        <v>249</v>
      </c>
      <c r="J80" s="8">
        <f t="shared" si="16"/>
        <v>249</v>
      </c>
      <c r="K80" s="6" t="s">
        <v>15</v>
      </c>
      <c r="L80" s="9">
        <v>45823</v>
      </c>
      <c r="M80" s="1" t="str">
        <f t="shared" si="21"/>
        <v>KANO</v>
      </c>
      <c r="Q80" s="1" t="s">
        <v>72</v>
      </c>
      <c r="S80" s="1" t="str">
        <f t="shared" si="18"/>
        <v>Juice</v>
      </c>
      <c r="U80" s="1" t="s">
        <v>68</v>
      </c>
      <c r="W80" s="1" t="str">
        <f t="shared" si="19"/>
        <v>Beverages</v>
      </c>
      <c r="Y80" s="16" t="s">
        <v>13</v>
      </c>
      <c r="AA80" s="1" t="s">
        <v>213</v>
      </c>
      <c r="AC80" s="5" t="str">
        <f t="shared" si="20"/>
        <v>JOHN EVANS</v>
      </c>
      <c r="AE80" s="1" t="s">
        <v>194</v>
      </c>
    </row>
    <row r="81" spans="2:31" x14ac:dyDescent="0.25">
      <c r="B81" s="6">
        <v>80</v>
      </c>
      <c r="C81" s="3" t="s">
        <v>195</v>
      </c>
      <c r="D81" s="4" t="str">
        <f t="shared" si="12"/>
        <v>LISA JIMENEZ</v>
      </c>
      <c r="E81" s="6" t="str">
        <f t="shared" si="13"/>
        <v>MALE</v>
      </c>
      <c r="F81" s="6" t="str">
        <f t="shared" si="14"/>
        <v>BEVERAGES</v>
      </c>
      <c r="G81" s="6" t="str">
        <f t="shared" si="15"/>
        <v>COKE</v>
      </c>
      <c r="H81" s="8">
        <v>8</v>
      </c>
      <c r="I81" s="8">
        <v>59</v>
      </c>
      <c r="J81" s="15">
        <f t="shared" si="16"/>
        <v>472</v>
      </c>
      <c r="K81" s="6" t="s">
        <v>20</v>
      </c>
      <c r="L81" s="9">
        <v>45817</v>
      </c>
      <c r="M81" s="1" t="str">
        <f t="shared" si="21"/>
        <v>PORT HARCOURT</v>
      </c>
      <c r="Q81" s="1" t="s">
        <v>10</v>
      </c>
      <c r="S81" s="1" t="str">
        <f t="shared" si="18"/>
        <v>Coke</v>
      </c>
      <c r="U81" s="1" t="s">
        <v>35</v>
      </c>
      <c r="W81" s="1" t="str">
        <f t="shared" si="19"/>
        <v>Beverages</v>
      </c>
      <c r="Y81" s="16" t="s">
        <v>13</v>
      </c>
      <c r="AA81" s="1" t="s">
        <v>19</v>
      </c>
      <c r="AC81" s="5" t="str">
        <f t="shared" si="20"/>
        <v>LISA JIMENEZ</v>
      </c>
      <c r="AE81" s="1" t="s">
        <v>196</v>
      </c>
    </row>
    <row r="82" spans="2:31" x14ac:dyDescent="0.25">
      <c r="B82" s="6">
        <v>81</v>
      </c>
      <c r="C82" s="3" t="s">
        <v>197</v>
      </c>
      <c r="D82" s="4" t="str">
        <f t="shared" si="12"/>
        <v>KIMBERLY WILSON</v>
      </c>
      <c r="E82" s="6" t="str">
        <f t="shared" si="13"/>
        <v>FEMALE</v>
      </c>
      <c r="F82" s="6" t="str">
        <f t="shared" si="14"/>
        <v>HOUSEHOLD</v>
      </c>
      <c r="G82" s="6" t="str">
        <f t="shared" si="15"/>
        <v>SOAP</v>
      </c>
      <c r="H82" s="8">
        <v>6</v>
      </c>
      <c r="I82" s="8">
        <v>122</v>
      </c>
      <c r="J82" s="8">
        <f t="shared" si="16"/>
        <v>732</v>
      </c>
      <c r="K82" s="6" t="s">
        <v>9</v>
      </c>
      <c r="L82" s="9">
        <v>45832</v>
      </c>
      <c r="M82" s="1" t="str">
        <f t="shared" si="21"/>
        <v>BENIN CITY</v>
      </c>
      <c r="Q82" s="1" t="s">
        <v>16</v>
      </c>
      <c r="S82" s="1" t="str">
        <f t="shared" si="18"/>
        <v>Soap</v>
      </c>
      <c r="U82" s="1" t="s">
        <v>32</v>
      </c>
      <c r="W82" s="1" t="str">
        <f t="shared" si="19"/>
        <v>Household</v>
      </c>
      <c r="Y82" s="16" t="s">
        <v>24</v>
      </c>
      <c r="AA82" s="1" t="s">
        <v>6</v>
      </c>
      <c r="AC82" s="5" t="str">
        <f t="shared" si="20"/>
        <v>KIMBERLY WILSON</v>
      </c>
      <c r="AE82" s="1" t="s">
        <v>198</v>
      </c>
    </row>
    <row r="83" spans="2:31" x14ac:dyDescent="0.25">
      <c r="B83" s="6">
        <v>82</v>
      </c>
      <c r="C83" s="3" t="s">
        <v>199</v>
      </c>
      <c r="D83" s="4" t="str">
        <f t="shared" si="12"/>
        <v>JENNIFER THOMAS</v>
      </c>
      <c r="E83" s="6" t="str">
        <f t="shared" si="13"/>
        <v>FEMALE</v>
      </c>
      <c r="F83" s="6" t="str">
        <f t="shared" si="14"/>
        <v>PERSONAL CARE</v>
      </c>
      <c r="G83" s="6" t="str">
        <f t="shared" si="15"/>
        <v>DEODORANT</v>
      </c>
      <c r="H83" s="8">
        <v>9</v>
      </c>
      <c r="I83" s="8">
        <v>679</v>
      </c>
      <c r="J83" s="8">
        <f t="shared" si="16"/>
        <v>6111</v>
      </c>
      <c r="K83" s="6" t="s">
        <v>42</v>
      </c>
      <c r="L83" s="9">
        <v>45829</v>
      </c>
      <c r="M83" s="1" t="str">
        <f t="shared" si="21"/>
        <v>KANO</v>
      </c>
      <c r="Q83" s="1" t="s">
        <v>72</v>
      </c>
      <c r="S83" s="1" t="str">
        <f t="shared" si="18"/>
        <v>Deodorant</v>
      </c>
      <c r="U83" s="1" t="s">
        <v>159</v>
      </c>
      <c r="W83" s="1" t="str">
        <f t="shared" si="19"/>
        <v>Personal Care</v>
      </c>
      <c r="Y83" s="16" t="s">
        <v>555</v>
      </c>
      <c r="AA83" s="1" t="s">
        <v>6</v>
      </c>
      <c r="AC83" s="5" t="str">
        <f t="shared" si="20"/>
        <v>JENNIFER THOMAS</v>
      </c>
      <c r="AE83" s="1" t="s">
        <v>200</v>
      </c>
    </row>
    <row r="84" spans="2:31" x14ac:dyDescent="0.25">
      <c r="B84" s="6">
        <v>83</v>
      </c>
      <c r="C84" s="3" t="s">
        <v>201</v>
      </c>
      <c r="D84" s="4" t="str">
        <f t="shared" si="12"/>
        <v>JAMES MOLINA</v>
      </c>
      <c r="E84" s="6" t="str">
        <f t="shared" si="13"/>
        <v>FEMALE</v>
      </c>
      <c r="F84" s="6" t="str">
        <f t="shared" si="14"/>
        <v>PERSONAL CARE</v>
      </c>
      <c r="G84" s="6" t="str">
        <f t="shared" si="15"/>
        <v>SHAMPOO</v>
      </c>
      <c r="H84" s="8">
        <v>1</v>
      </c>
      <c r="I84" s="8">
        <v>253</v>
      </c>
      <c r="J84" s="8">
        <f t="shared" si="16"/>
        <v>253</v>
      </c>
      <c r="K84" s="6" t="s">
        <v>9</v>
      </c>
      <c r="L84" s="9">
        <v>45823</v>
      </c>
      <c r="M84" s="1" t="str">
        <f t="shared" si="21"/>
        <v>LAGOS</v>
      </c>
      <c r="Q84" s="1" t="s">
        <v>29</v>
      </c>
      <c r="S84" s="1" t="str">
        <f t="shared" si="18"/>
        <v>Shampoo</v>
      </c>
      <c r="U84" s="1" t="s">
        <v>38</v>
      </c>
      <c r="W84" s="1" t="str">
        <f t="shared" si="19"/>
        <v>Personal Care</v>
      </c>
      <c r="Y84" s="16" t="s">
        <v>555</v>
      </c>
      <c r="AA84" s="1" t="s">
        <v>6</v>
      </c>
      <c r="AC84" s="5" t="str">
        <f t="shared" si="20"/>
        <v>JAMES MOLINA</v>
      </c>
      <c r="AE84" s="1" t="s">
        <v>202</v>
      </c>
    </row>
    <row r="85" spans="2:31" x14ac:dyDescent="0.25">
      <c r="B85" s="6">
        <v>84</v>
      </c>
      <c r="C85" s="3" t="s">
        <v>203</v>
      </c>
      <c r="D85" s="4" t="str">
        <f t="shared" si="12"/>
        <v>STEPHEN BRADLEY</v>
      </c>
      <c r="E85" s="6" t="str">
        <f t="shared" si="13"/>
        <v>MALE</v>
      </c>
      <c r="F85" s="6" t="str">
        <f t="shared" si="14"/>
        <v>HOUSEHOLD</v>
      </c>
      <c r="G85" s="6" t="str">
        <f t="shared" si="15"/>
        <v>AIR FRESHENER</v>
      </c>
      <c r="H85" s="8">
        <v>7</v>
      </c>
      <c r="I85" s="8">
        <v>471</v>
      </c>
      <c r="J85" s="8">
        <f t="shared" si="16"/>
        <v>3297</v>
      </c>
      <c r="K85" s="6" t="s">
        <v>9</v>
      </c>
      <c r="L85" s="9">
        <v>45837</v>
      </c>
      <c r="M85" s="1" t="str">
        <f t="shared" si="21"/>
        <v>PORT HARCOURT</v>
      </c>
      <c r="Q85" s="1" t="s">
        <v>10</v>
      </c>
      <c r="S85" s="1" t="str">
        <f t="shared" si="18"/>
        <v>Air Freshener</v>
      </c>
      <c r="U85" s="1" t="s">
        <v>55</v>
      </c>
      <c r="W85" s="1" t="str">
        <f t="shared" si="19"/>
        <v>Household</v>
      </c>
      <c r="Y85" s="16" t="s">
        <v>24</v>
      </c>
      <c r="AA85" s="1" t="s">
        <v>19</v>
      </c>
      <c r="AC85" s="5" t="str">
        <f t="shared" si="20"/>
        <v>STEPHEN BRADLEY</v>
      </c>
      <c r="AE85" s="1" t="s">
        <v>204</v>
      </c>
    </row>
    <row r="86" spans="2:31" x14ac:dyDescent="0.25">
      <c r="B86" s="6">
        <v>85</v>
      </c>
      <c r="C86" s="3" t="s">
        <v>205</v>
      </c>
      <c r="D86" s="4" t="str">
        <f t="shared" si="12"/>
        <v>SEAN SCHROEDER</v>
      </c>
      <c r="E86" s="6" t="str">
        <f t="shared" si="13"/>
        <v>FEMALE</v>
      </c>
      <c r="F86" s="6" t="str">
        <f t="shared" si="14"/>
        <v>HOUSEHOLD</v>
      </c>
      <c r="G86" s="6" t="str">
        <f t="shared" si="15"/>
        <v>DETERGENT</v>
      </c>
      <c r="H86" s="8">
        <v>5</v>
      </c>
      <c r="I86" s="8">
        <v>478</v>
      </c>
      <c r="J86" s="8">
        <f t="shared" si="16"/>
        <v>2390</v>
      </c>
      <c r="K86" s="6" t="s">
        <v>15</v>
      </c>
      <c r="L86" s="9">
        <v>45840</v>
      </c>
      <c r="M86" s="1" t="str">
        <f t="shared" si="21"/>
        <v>PORT HARCOURT</v>
      </c>
      <c r="Q86" s="1" t="s">
        <v>10</v>
      </c>
      <c r="S86" s="1" t="str">
        <f t="shared" si="18"/>
        <v>Detergent</v>
      </c>
      <c r="U86" s="1" t="s">
        <v>63</v>
      </c>
      <c r="W86" s="1" t="str">
        <f t="shared" si="19"/>
        <v>Household</v>
      </c>
      <c r="Y86" s="16" t="s">
        <v>24</v>
      </c>
      <c r="AA86" s="1" t="s">
        <v>6</v>
      </c>
      <c r="AC86" s="5" t="str">
        <f t="shared" si="20"/>
        <v>SEAN SCHROEDER</v>
      </c>
      <c r="AE86" s="1" t="s">
        <v>206</v>
      </c>
    </row>
    <row r="87" spans="2:31" x14ac:dyDescent="0.25">
      <c r="B87" s="6">
        <v>86</v>
      </c>
      <c r="C87" s="3" t="s">
        <v>207</v>
      </c>
      <c r="D87" s="4" t="str">
        <f t="shared" si="12"/>
        <v>PATRICK SPENCE</v>
      </c>
      <c r="E87" s="6" t="str">
        <f t="shared" si="13"/>
        <v>FEMALE</v>
      </c>
      <c r="F87" s="6" t="str">
        <f t="shared" si="14"/>
        <v>BEVERAGES</v>
      </c>
      <c r="G87" s="6" t="str">
        <f t="shared" si="15"/>
        <v>WATER</v>
      </c>
      <c r="H87" s="8">
        <v>4</v>
      </c>
      <c r="I87" s="8">
        <v>516</v>
      </c>
      <c r="J87" s="8">
        <f t="shared" si="16"/>
        <v>2064</v>
      </c>
      <c r="K87" s="6" t="s">
        <v>9</v>
      </c>
      <c r="L87" s="9">
        <v>45820</v>
      </c>
      <c r="M87" s="1" t="str">
        <f t="shared" si="21"/>
        <v>ABUJA</v>
      </c>
      <c r="Q87" s="1" t="s">
        <v>58</v>
      </c>
      <c r="S87" s="1" t="str">
        <f t="shared" si="18"/>
        <v>Water</v>
      </c>
      <c r="U87" s="1" t="s">
        <v>106</v>
      </c>
      <c r="W87" s="1" t="str">
        <f t="shared" si="19"/>
        <v>Beverages</v>
      </c>
      <c r="Y87" s="16" t="s">
        <v>13</v>
      </c>
      <c r="AA87" s="1" t="s">
        <v>6</v>
      </c>
      <c r="AC87" s="5" t="str">
        <f t="shared" si="20"/>
        <v>PATRICK SPENCE</v>
      </c>
      <c r="AE87" s="1" t="s">
        <v>208</v>
      </c>
    </row>
    <row r="88" spans="2:31" x14ac:dyDescent="0.25">
      <c r="B88" s="6">
        <v>87</v>
      </c>
      <c r="C88" s="3" t="s">
        <v>209</v>
      </c>
      <c r="D88" s="4" t="str">
        <f t="shared" si="12"/>
        <v>JEFFERY CAMPBELL</v>
      </c>
      <c r="E88" s="6" t="str">
        <f t="shared" si="13"/>
        <v>MALE</v>
      </c>
      <c r="F88" s="6" t="str">
        <f t="shared" si="14"/>
        <v>BEVERAGES</v>
      </c>
      <c r="G88" s="6" t="str">
        <f t="shared" si="15"/>
        <v>PEPSI</v>
      </c>
      <c r="H88" s="8">
        <v>1</v>
      </c>
      <c r="I88" s="8">
        <v>174</v>
      </c>
      <c r="J88" s="8">
        <f t="shared" si="16"/>
        <v>174</v>
      </c>
      <c r="K88" s="6" t="s">
        <v>20</v>
      </c>
      <c r="L88" s="9">
        <v>45824</v>
      </c>
      <c r="M88" s="1" t="str">
        <f t="shared" si="21"/>
        <v>BENIN CITY</v>
      </c>
      <c r="Q88" s="1" t="s">
        <v>16</v>
      </c>
      <c r="S88" s="1" t="str">
        <f t="shared" si="18"/>
        <v>Pepsi</v>
      </c>
      <c r="U88" s="1" t="s">
        <v>82</v>
      </c>
      <c r="W88" s="1" t="str">
        <f t="shared" si="19"/>
        <v>Beverages</v>
      </c>
      <c r="Y88" s="16" t="s">
        <v>13</v>
      </c>
      <c r="AA88" s="1" t="s">
        <v>19</v>
      </c>
      <c r="AC88" s="5" t="str">
        <f t="shared" si="20"/>
        <v>JEFFERY CAMPBELL</v>
      </c>
      <c r="AE88" s="1" t="s">
        <v>210</v>
      </c>
    </row>
    <row r="89" spans="2:31" x14ac:dyDescent="0.25">
      <c r="B89" s="6">
        <v>88</v>
      </c>
      <c r="C89" s="3" t="s">
        <v>211</v>
      </c>
      <c r="D89" s="4" t="str">
        <f t="shared" si="12"/>
        <v>KEVIN SANDOVAL</v>
      </c>
      <c r="E89" s="6" t="str">
        <f t="shared" si="13"/>
        <v>MALE</v>
      </c>
      <c r="F89" s="6" t="str">
        <f t="shared" si="14"/>
        <v>BEVERAGES</v>
      </c>
      <c r="G89" s="6" t="str">
        <f t="shared" si="15"/>
        <v>PEPSI</v>
      </c>
      <c r="H89" s="8">
        <v>7</v>
      </c>
      <c r="I89" s="8">
        <v>392</v>
      </c>
      <c r="J89" s="8">
        <f t="shared" si="16"/>
        <v>2744</v>
      </c>
      <c r="K89" s="6" t="s">
        <v>15</v>
      </c>
      <c r="L89" s="9">
        <v>45811</v>
      </c>
      <c r="M89" s="1" t="str">
        <f t="shared" si="21"/>
        <v>IBADAN</v>
      </c>
      <c r="Q89" s="1" t="s">
        <v>25</v>
      </c>
      <c r="S89" s="1" t="str">
        <f t="shared" si="18"/>
        <v>Pepsi</v>
      </c>
      <c r="U89" s="1" t="s">
        <v>82</v>
      </c>
      <c r="W89" s="1" t="str">
        <f t="shared" si="19"/>
        <v>Beverages</v>
      </c>
      <c r="Y89" s="16" t="s">
        <v>13</v>
      </c>
      <c r="AA89" s="1" t="s">
        <v>213</v>
      </c>
      <c r="AC89" s="5" t="str">
        <f t="shared" si="20"/>
        <v>KEVIN SANDOVAL</v>
      </c>
      <c r="AE89" s="1" t="s">
        <v>212</v>
      </c>
    </row>
    <row r="90" spans="2:31" x14ac:dyDescent="0.25">
      <c r="B90" s="6">
        <v>89</v>
      </c>
      <c r="C90" s="3" t="s">
        <v>214</v>
      </c>
      <c r="D90" s="4" t="str">
        <f t="shared" si="12"/>
        <v>WENDY MAYER</v>
      </c>
      <c r="E90" s="6" t="str">
        <f t="shared" si="13"/>
        <v>FEMALE</v>
      </c>
      <c r="F90" s="6" t="str">
        <f t="shared" si="14"/>
        <v>SNACKS</v>
      </c>
      <c r="G90" s="6" t="str">
        <f t="shared" si="15"/>
        <v>CHIN CHIN</v>
      </c>
      <c r="H90" s="8">
        <v>10</v>
      </c>
      <c r="I90" s="8">
        <v>423</v>
      </c>
      <c r="J90" s="8">
        <f t="shared" si="16"/>
        <v>4230</v>
      </c>
      <c r="K90" s="6" t="s">
        <v>20</v>
      </c>
      <c r="L90" s="9">
        <v>45824</v>
      </c>
      <c r="M90" s="1" t="str">
        <f t="shared" si="21"/>
        <v>PORT HARCOURT</v>
      </c>
      <c r="Q90" s="1" t="s">
        <v>10</v>
      </c>
      <c r="S90" s="1" t="str">
        <f t="shared" si="18"/>
        <v>Chin Chin</v>
      </c>
      <c r="U90" s="1" t="s">
        <v>41</v>
      </c>
      <c r="W90" s="1" t="str">
        <f t="shared" si="19"/>
        <v>Snacks</v>
      </c>
      <c r="Y90" s="16" t="s">
        <v>7</v>
      </c>
      <c r="AA90" s="1" t="s">
        <v>6</v>
      </c>
      <c r="AC90" s="5" t="str">
        <f t="shared" si="20"/>
        <v>WENDY MAYER</v>
      </c>
      <c r="AE90" s="1" t="s">
        <v>215</v>
      </c>
    </row>
    <row r="91" spans="2:31" x14ac:dyDescent="0.25">
      <c r="B91" s="6">
        <v>90</v>
      </c>
      <c r="C91" s="3" t="s">
        <v>216</v>
      </c>
      <c r="D91" s="4" t="str">
        <f t="shared" ref="D91:D122" si="22">TRIM(AC91)</f>
        <v>JOE SIMPSON</v>
      </c>
      <c r="E91" s="6" t="str">
        <f t="shared" si="13"/>
        <v>FEMALE</v>
      </c>
      <c r="F91" s="6" t="str">
        <f t="shared" si="14"/>
        <v>HOUSEHOLD</v>
      </c>
      <c r="G91" s="6" t="str">
        <f t="shared" si="15"/>
        <v>DETERGENT</v>
      </c>
      <c r="H91" s="8">
        <v>3</v>
      </c>
      <c r="I91" s="8">
        <v>843</v>
      </c>
      <c r="J91" s="8">
        <f t="shared" si="16"/>
        <v>2529</v>
      </c>
      <c r="K91" s="6" t="s">
        <v>15</v>
      </c>
      <c r="L91" s="9">
        <v>45826</v>
      </c>
      <c r="M91" s="1" t="str">
        <f t="shared" si="21"/>
        <v>BENIN CITY</v>
      </c>
      <c r="Q91" s="1" t="s">
        <v>16</v>
      </c>
      <c r="S91" s="1" t="str">
        <f t="shared" si="18"/>
        <v>Detergent</v>
      </c>
      <c r="U91" s="1" t="s">
        <v>63</v>
      </c>
      <c r="W91" s="1" t="str">
        <f t="shared" si="19"/>
        <v>Household</v>
      </c>
      <c r="Y91" s="16" t="s">
        <v>24</v>
      </c>
      <c r="AA91" s="1" t="s">
        <v>6</v>
      </c>
      <c r="AC91" s="5" t="str">
        <f t="shared" si="20"/>
        <v xml:space="preserve">  JOE SIMPSON  </v>
      </c>
      <c r="AE91" s="1" t="s">
        <v>217</v>
      </c>
    </row>
    <row r="92" spans="2:31" x14ac:dyDescent="0.25">
      <c r="B92" s="6">
        <v>91</v>
      </c>
      <c r="C92" s="3" t="s">
        <v>218</v>
      </c>
      <c r="D92" s="4" t="str">
        <f t="shared" si="22"/>
        <v>SANDRA FREDERICK</v>
      </c>
      <c r="E92" s="6" t="str">
        <f t="shared" si="13"/>
        <v>MALE</v>
      </c>
      <c r="F92" s="6" t="str">
        <f t="shared" si="14"/>
        <v>PERSONAL CARE</v>
      </c>
      <c r="G92" s="6" t="str">
        <f t="shared" si="15"/>
        <v>HAND SANITIZER</v>
      </c>
      <c r="H92" s="8">
        <v>4</v>
      </c>
      <c r="I92" s="8">
        <v>433</v>
      </c>
      <c r="J92" s="8">
        <f t="shared" si="16"/>
        <v>1732</v>
      </c>
      <c r="K92" s="6" t="s">
        <v>20</v>
      </c>
      <c r="L92" s="9">
        <v>45817</v>
      </c>
      <c r="M92" s="1" t="str">
        <f t="shared" si="21"/>
        <v>IBADAN</v>
      </c>
      <c r="Q92" s="1" t="s">
        <v>25</v>
      </c>
      <c r="S92" s="1" t="str">
        <f t="shared" si="18"/>
        <v>Hand Sanitizer</v>
      </c>
      <c r="U92" s="1" t="s">
        <v>117</v>
      </c>
      <c r="W92" s="1" t="str">
        <f t="shared" si="19"/>
        <v>Personal Care</v>
      </c>
      <c r="Y92" s="16" t="s">
        <v>555</v>
      </c>
      <c r="AA92" s="1" t="s">
        <v>19</v>
      </c>
      <c r="AC92" s="5" t="str">
        <f t="shared" si="20"/>
        <v>SANDRA FREDERICK</v>
      </c>
      <c r="AE92" s="1" t="s">
        <v>219</v>
      </c>
    </row>
    <row r="93" spans="2:31" x14ac:dyDescent="0.25">
      <c r="B93" s="6">
        <v>92</v>
      </c>
      <c r="C93" s="3" t="s">
        <v>220</v>
      </c>
      <c r="D93" s="4" t="str">
        <f t="shared" si="22"/>
        <v>JENNIFER TAYLOR</v>
      </c>
      <c r="E93" s="6" t="str">
        <f t="shared" si="13"/>
        <v>MALE</v>
      </c>
      <c r="F93" s="6" t="str">
        <f t="shared" si="14"/>
        <v>HOUSEHOLD</v>
      </c>
      <c r="G93" s="6" t="str">
        <f t="shared" si="15"/>
        <v>BLEACH</v>
      </c>
      <c r="H93" s="8">
        <v>4</v>
      </c>
      <c r="I93" s="8">
        <v>157</v>
      </c>
      <c r="J93" s="8">
        <f t="shared" si="16"/>
        <v>628</v>
      </c>
      <c r="K93" s="6" t="s">
        <v>20</v>
      </c>
      <c r="L93" s="9">
        <v>45848</v>
      </c>
      <c r="M93" s="1" t="str">
        <f t="shared" si="21"/>
        <v>ABUJA</v>
      </c>
      <c r="Q93" s="1" t="s">
        <v>58</v>
      </c>
      <c r="S93" s="1" t="str">
        <f t="shared" si="18"/>
        <v>Bleach</v>
      </c>
      <c r="U93" s="1" t="s">
        <v>134</v>
      </c>
      <c r="W93" s="1" t="str">
        <f t="shared" si="19"/>
        <v>Household</v>
      </c>
      <c r="Y93" s="16" t="s">
        <v>24</v>
      </c>
      <c r="AA93" s="1" t="s">
        <v>19</v>
      </c>
      <c r="AC93" s="5" t="str">
        <f t="shared" si="20"/>
        <v>JENNIFER TAYLOR</v>
      </c>
      <c r="AE93" s="1" t="s">
        <v>221</v>
      </c>
    </row>
    <row r="94" spans="2:31" x14ac:dyDescent="0.25">
      <c r="B94" s="6">
        <v>93</v>
      </c>
      <c r="C94" s="3" t="s">
        <v>222</v>
      </c>
      <c r="D94" s="4" t="str">
        <f t="shared" si="22"/>
        <v>KENNETH CHAVEZ</v>
      </c>
      <c r="E94" s="6" t="str">
        <f t="shared" si="13"/>
        <v>FEMALE</v>
      </c>
      <c r="F94" s="6" t="str">
        <f t="shared" si="14"/>
        <v>PERSONAL CARE</v>
      </c>
      <c r="G94" s="6" t="str">
        <f t="shared" si="15"/>
        <v>TOOTHPASTE</v>
      </c>
      <c r="H94" s="8">
        <v>3</v>
      </c>
      <c r="I94" s="8">
        <v>910</v>
      </c>
      <c r="J94" s="8">
        <f t="shared" si="16"/>
        <v>2730</v>
      </c>
      <c r="K94" s="6" t="s">
        <v>42</v>
      </c>
      <c r="L94" s="9">
        <v>45835</v>
      </c>
      <c r="M94" s="1" t="str">
        <f t="shared" si="21"/>
        <v>ABUJA</v>
      </c>
      <c r="Q94" s="1" t="s">
        <v>58</v>
      </c>
      <c r="S94" s="1" t="str">
        <f t="shared" si="18"/>
        <v>Toothpaste</v>
      </c>
      <c r="U94" s="1" t="s">
        <v>164</v>
      </c>
      <c r="W94" s="1" t="str">
        <f t="shared" si="19"/>
        <v>Personal Care</v>
      </c>
      <c r="Y94" s="16" t="s">
        <v>555</v>
      </c>
      <c r="AA94" s="1" t="s">
        <v>6</v>
      </c>
      <c r="AC94" s="5" t="str">
        <f t="shared" si="20"/>
        <v>KENNETH CHAVEZ</v>
      </c>
      <c r="AE94" s="1" t="s">
        <v>223</v>
      </c>
    </row>
    <row r="95" spans="2:31" x14ac:dyDescent="0.25">
      <c r="B95" s="6">
        <v>94</v>
      </c>
      <c r="C95" s="3" t="s">
        <v>224</v>
      </c>
      <c r="D95" s="4" t="str">
        <f t="shared" si="22"/>
        <v>BRIAN MOORE</v>
      </c>
      <c r="E95" s="6" t="str">
        <f t="shared" si="13"/>
        <v>MALE</v>
      </c>
      <c r="F95" s="6" t="str">
        <f t="shared" si="14"/>
        <v>PERSONAL CARE</v>
      </c>
      <c r="G95" s="6" t="str">
        <f t="shared" si="15"/>
        <v>LOTION</v>
      </c>
      <c r="H95" s="8">
        <v>2</v>
      </c>
      <c r="I95" s="8">
        <v>958</v>
      </c>
      <c r="J95" s="8">
        <f t="shared" si="16"/>
        <v>1916</v>
      </c>
      <c r="K95" s="6" t="s">
        <v>15</v>
      </c>
      <c r="L95" s="9">
        <v>45824</v>
      </c>
      <c r="M95" s="1" t="str">
        <f t="shared" si="21"/>
        <v>IBADAN</v>
      </c>
      <c r="Q95" s="1" t="s">
        <v>25</v>
      </c>
      <c r="S95" s="1" t="str">
        <f t="shared" si="18"/>
        <v>Lotion</v>
      </c>
      <c r="U95" s="1" t="s">
        <v>49</v>
      </c>
      <c r="W95" s="1" t="str">
        <f t="shared" si="19"/>
        <v>Personal Care</v>
      </c>
      <c r="Y95" s="16" t="s">
        <v>555</v>
      </c>
      <c r="AA95" s="1" t="s">
        <v>19</v>
      </c>
      <c r="AC95" s="5" t="str">
        <f t="shared" si="20"/>
        <v>BRIAN MOORE</v>
      </c>
      <c r="AE95" s="1" t="s">
        <v>225</v>
      </c>
    </row>
    <row r="96" spans="2:31" x14ac:dyDescent="0.25">
      <c r="B96" s="6">
        <v>95</v>
      </c>
      <c r="C96" s="3" t="s">
        <v>226</v>
      </c>
      <c r="D96" s="4" t="str">
        <f t="shared" si="22"/>
        <v>JUSTIN STEVENSON</v>
      </c>
      <c r="E96" s="6" t="str">
        <f t="shared" si="13"/>
        <v>FEMALE</v>
      </c>
      <c r="F96" s="6" t="str">
        <f t="shared" si="14"/>
        <v>PERSONAL CARE</v>
      </c>
      <c r="G96" s="6" t="str">
        <f t="shared" si="15"/>
        <v>TOOTHPASTE</v>
      </c>
      <c r="H96" s="8">
        <v>10</v>
      </c>
      <c r="I96" s="8">
        <v>975</v>
      </c>
      <c r="J96" s="8">
        <f t="shared" si="16"/>
        <v>9750</v>
      </c>
      <c r="K96" s="6" t="s">
        <v>15</v>
      </c>
      <c r="L96" s="9">
        <v>45836</v>
      </c>
      <c r="M96" s="1" t="str">
        <f t="shared" si="21"/>
        <v>PORT HARCOURT</v>
      </c>
      <c r="Q96" s="1" t="s">
        <v>10</v>
      </c>
      <c r="S96" s="1" t="str">
        <f t="shared" si="18"/>
        <v>Toothpaste</v>
      </c>
      <c r="U96" s="1" t="s">
        <v>164</v>
      </c>
      <c r="W96" s="1" t="str">
        <f t="shared" si="19"/>
        <v>Personal Care</v>
      </c>
      <c r="Y96" s="16" t="s">
        <v>555</v>
      </c>
      <c r="AA96" s="1" t="s">
        <v>6</v>
      </c>
      <c r="AC96" s="5" t="str">
        <f t="shared" si="20"/>
        <v>JUSTIN STEVENSON</v>
      </c>
      <c r="AE96" s="1" t="s">
        <v>227</v>
      </c>
    </row>
    <row r="97" spans="2:31" x14ac:dyDescent="0.25">
      <c r="B97" s="6">
        <v>96</v>
      </c>
      <c r="C97" s="3" t="s">
        <v>228</v>
      </c>
      <c r="D97" s="4" t="str">
        <f t="shared" si="22"/>
        <v>BRIAN ORR</v>
      </c>
      <c r="E97" s="6" t="str">
        <f t="shared" si="13"/>
        <v>MALE</v>
      </c>
      <c r="F97" s="6" t="str">
        <f t="shared" si="14"/>
        <v>PERSONAL CARE</v>
      </c>
      <c r="G97" s="6" t="str">
        <f t="shared" si="15"/>
        <v>LOTION</v>
      </c>
      <c r="H97" s="8">
        <v>8</v>
      </c>
      <c r="I97" s="8">
        <v>988</v>
      </c>
      <c r="J97" s="8">
        <f t="shared" si="16"/>
        <v>7904</v>
      </c>
      <c r="K97" s="6" t="s">
        <v>20</v>
      </c>
      <c r="L97" s="9">
        <v>45819</v>
      </c>
      <c r="M97" s="1" t="str">
        <f t="shared" si="21"/>
        <v>PORT HARCOURT</v>
      </c>
      <c r="Q97" s="1" t="s">
        <v>10</v>
      </c>
      <c r="S97" s="1" t="str">
        <f t="shared" si="18"/>
        <v>Lotion</v>
      </c>
      <c r="U97" s="1" t="s">
        <v>49</v>
      </c>
      <c r="W97" s="1" t="str">
        <f t="shared" si="19"/>
        <v>Personal Care</v>
      </c>
      <c r="Y97" s="16" t="s">
        <v>555</v>
      </c>
      <c r="AA97" s="1" t="s">
        <v>19</v>
      </c>
      <c r="AC97" s="5" t="str">
        <f t="shared" si="20"/>
        <v>BRIAN ORR</v>
      </c>
      <c r="AE97" s="1" t="s">
        <v>229</v>
      </c>
    </row>
    <row r="98" spans="2:31" x14ac:dyDescent="0.25">
      <c r="B98" s="6">
        <v>97</v>
      </c>
      <c r="C98" s="3" t="s">
        <v>230</v>
      </c>
      <c r="D98" s="4" t="str">
        <f t="shared" si="22"/>
        <v>ERIKA LOWERY</v>
      </c>
      <c r="E98" s="6" t="str">
        <f t="shared" si="13"/>
        <v>FEMALE</v>
      </c>
      <c r="F98" s="6" t="str">
        <f t="shared" si="14"/>
        <v>BEVERAGES</v>
      </c>
      <c r="G98" s="6" t="str">
        <f t="shared" si="15"/>
        <v>FANTA</v>
      </c>
      <c r="H98" s="8">
        <v>5</v>
      </c>
      <c r="I98" s="8">
        <v>850</v>
      </c>
      <c r="J98" s="8">
        <f t="shared" si="16"/>
        <v>4250</v>
      </c>
      <c r="K98" s="6" t="s">
        <v>42</v>
      </c>
      <c r="L98" s="9">
        <v>45840</v>
      </c>
      <c r="M98" s="1" t="str">
        <f t="shared" si="21"/>
        <v>LAGOS</v>
      </c>
      <c r="Q98" s="1" t="s">
        <v>29</v>
      </c>
      <c r="S98" s="1" t="str">
        <f t="shared" ref="S98:S129" si="23">TRIM(U98)</f>
        <v>Fanta</v>
      </c>
      <c r="U98" s="1" t="s">
        <v>14</v>
      </c>
      <c r="W98" s="1" t="str">
        <f t="shared" si="19"/>
        <v>Beverages</v>
      </c>
      <c r="Y98" s="16" t="s">
        <v>13</v>
      </c>
      <c r="AA98" s="1" t="s">
        <v>6</v>
      </c>
      <c r="AC98" s="5" t="str">
        <f t="shared" si="20"/>
        <v>ERIKA LOWERY</v>
      </c>
      <c r="AE98" s="1" t="s">
        <v>231</v>
      </c>
    </row>
    <row r="99" spans="2:31" x14ac:dyDescent="0.25">
      <c r="B99" s="6">
        <v>98</v>
      </c>
      <c r="C99" s="3" t="s">
        <v>232</v>
      </c>
      <c r="D99" s="4" t="str">
        <f t="shared" si="22"/>
        <v>GREGORY BROWN</v>
      </c>
      <c r="E99" s="6" t="str">
        <f t="shared" si="13"/>
        <v>MALE</v>
      </c>
      <c r="F99" s="6" t="str">
        <f t="shared" si="14"/>
        <v>HOUSEHOLD</v>
      </c>
      <c r="G99" s="6" t="str">
        <f t="shared" si="15"/>
        <v>SOAP</v>
      </c>
      <c r="H99" s="8">
        <v>6</v>
      </c>
      <c r="I99" s="8">
        <v>739</v>
      </c>
      <c r="J99" s="8">
        <f t="shared" si="16"/>
        <v>4434</v>
      </c>
      <c r="K99" s="6" t="s">
        <v>20</v>
      </c>
      <c r="L99" s="9">
        <v>45811</v>
      </c>
      <c r="M99" s="1" t="str">
        <f t="shared" si="21"/>
        <v>LAGOS</v>
      </c>
      <c r="Q99" s="1" t="s">
        <v>29</v>
      </c>
      <c r="S99" s="1" t="str">
        <f t="shared" si="23"/>
        <v>Soap</v>
      </c>
      <c r="U99" s="1" t="s">
        <v>32</v>
      </c>
      <c r="W99" s="1" t="str">
        <f t="shared" si="19"/>
        <v>Household</v>
      </c>
      <c r="Y99" s="16" t="s">
        <v>24</v>
      </c>
      <c r="AA99" s="1" t="s">
        <v>19</v>
      </c>
      <c r="AC99" s="5" t="str">
        <f t="shared" si="20"/>
        <v>GREGORY BROWN</v>
      </c>
      <c r="AE99" s="1" t="s">
        <v>233</v>
      </c>
    </row>
    <row r="100" spans="2:31" x14ac:dyDescent="0.25">
      <c r="B100" s="6">
        <v>99</v>
      </c>
      <c r="C100" s="3" t="s">
        <v>234</v>
      </c>
      <c r="D100" s="4" t="str">
        <f t="shared" si="22"/>
        <v>KATHLEEN SMITH</v>
      </c>
      <c r="E100" s="6" t="str">
        <f t="shared" si="13"/>
        <v>MALE</v>
      </c>
      <c r="F100" s="6" t="str">
        <f t="shared" si="14"/>
        <v>BEVERAGES</v>
      </c>
      <c r="G100" s="6" t="str">
        <f t="shared" si="15"/>
        <v>JUICE</v>
      </c>
      <c r="H100" s="8">
        <v>7</v>
      </c>
      <c r="I100" s="8">
        <v>241</v>
      </c>
      <c r="J100" s="8">
        <f t="shared" si="16"/>
        <v>1687</v>
      </c>
      <c r="K100" s="6" t="s">
        <v>9</v>
      </c>
      <c r="L100" s="9">
        <v>45828</v>
      </c>
      <c r="M100" s="1" t="str">
        <f t="shared" si="21"/>
        <v>KANO</v>
      </c>
      <c r="Q100" s="1" t="s">
        <v>72</v>
      </c>
      <c r="S100" s="1" t="str">
        <f t="shared" si="23"/>
        <v>Juice</v>
      </c>
      <c r="U100" s="1" t="s">
        <v>68</v>
      </c>
      <c r="W100" s="1" t="str">
        <f t="shared" si="19"/>
        <v>Beverages</v>
      </c>
      <c r="Y100" s="16" t="s">
        <v>13</v>
      </c>
      <c r="AA100" s="1" t="s">
        <v>19</v>
      </c>
      <c r="AC100" s="5" t="str">
        <f t="shared" si="20"/>
        <v>KATHLEEN SMITH</v>
      </c>
      <c r="AE100" s="1" t="s">
        <v>235</v>
      </c>
    </row>
    <row r="101" spans="2:31" x14ac:dyDescent="0.25">
      <c r="B101" s="6">
        <v>100</v>
      </c>
      <c r="C101" s="3" t="s">
        <v>236</v>
      </c>
      <c r="D101" s="4" t="str">
        <f t="shared" si="22"/>
        <v>MELANIE MARTIN</v>
      </c>
      <c r="E101" s="6" t="str">
        <f t="shared" si="13"/>
        <v>FEMALE</v>
      </c>
      <c r="F101" s="6" t="str">
        <f t="shared" si="14"/>
        <v>BEVERAGES</v>
      </c>
      <c r="G101" s="6" t="str">
        <f t="shared" si="15"/>
        <v>JUICE</v>
      </c>
      <c r="H101" s="8">
        <v>3</v>
      </c>
      <c r="I101" s="8">
        <v>727</v>
      </c>
      <c r="J101" s="8">
        <f t="shared" si="16"/>
        <v>2181</v>
      </c>
      <c r="K101" s="6" t="s">
        <v>20</v>
      </c>
      <c r="L101" s="9">
        <v>45817</v>
      </c>
      <c r="M101" s="1" t="str">
        <f t="shared" si="21"/>
        <v>KANO</v>
      </c>
      <c r="Q101" s="1" t="s">
        <v>72</v>
      </c>
      <c r="S101" s="1" t="str">
        <f t="shared" si="23"/>
        <v>Juice</v>
      </c>
      <c r="U101" s="1" t="s">
        <v>68</v>
      </c>
      <c r="W101" s="1" t="str">
        <f t="shared" si="19"/>
        <v>Beverages</v>
      </c>
      <c r="Y101" s="16" t="s">
        <v>13</v>
      </c>
      <c r="AA101" s="1" t="s">
        <v>6</v>
      </c>
      <c r="AC101" s="5" t="str">
        <f t="shared" si="20"/>
        <v>MELANIE MARTIN</v>
      </c>
      <c r="AE101" s="1" t="s">
        <v>237</v>
      </c>
    </row>
    <row r="102" spans="2:31" x14ac:dyDescent="0.25">
      <c r="B102" s="6">
        <v>101</v>
      </c>
      <c r="C102" s="3" t="s">
        <v>238</v>
      </c>
      <c r="D102" s="4" t="str">
        <f t="shared" si="22"/>
        <v>CHASE HALL</v>
      </c>
      <c r="E102" s="6" t="str">
        <f t="shared" si="13"/>
        <v>MALE</v>
      </c>
      <c r="F102" s="6" t="str">
        <f t="shared" si="14"/>
        <v>BEVERAGES</v>
      </c>
      <c r="G102" s="6" t="str">
        <f t="shared" si="15"/>
        <v>WATER</v>
      </c>
      <c r="H102" s="8">
        <v>9</v>
      </c>
      <c r="I102" s="8">
        <v>826</v>
      </c>
      <c r="J102" s="8">
        <f t="shared" si="16"/>
        <v>7434</v>
      </c>
      <c r="K102" s="6" t="s">
        <v>42</v>
      </c>
      <c r="L102" s="9">
        <v>45830</v>
      </c>
      <c r="M102" s="1" t="str">
        <f t="shared" si="21"/>
        <v>LAGOS</v>
      </c>
      <c r="Q102" s="1" t="s">
        <v>29</v>
      </c>
      <c r="S102" s="1" t="str">
        <f t="shared" si="23"/>
        <v>Water</v>
      </c>
      <c r="U102" s="1" t="s">
        <v>106</v>
      </c>
      <c r="W102" s="1" t="str">
        <f t="shared" si="19"/>
        <v>Beverages</v>
      </c>
      <c r="Y102" s="16" t="s">
        <v>13</v>
      </c>
      <c r="AA102" s="1" t="s">
        <v>19</v>
      </c>
      <c r="AC102" s="5" t="str">
        <f t="shared" si="20"/>
        <v xml:space="preserve">  CHASE HALL  </v>
      </c>
      <c r="AE102" s="1" t="s">
        <v>239</v>
      </c>
    </row>
    <row r="103" spans="2:31" x14ac:dyDescent="0.25">
      <c r="B103" s="6">
        <v>102</v>
      </c>
      <c r="C103" s="3" t="s">
        <v>240</v>
      </c>
      <c r="D103" s="4" t="str">
        <f t="shared" si="22"/>
        <v>ERIK NGUYEN</v>
      </c>
      <c r="E103" s="6" t="str">
        <f t="shared" si="13"/>
        <v>MALE</v>
      </c>
      <c r="F103" s="6" t="str">
        <f t="shared" si="14"/>
        <v>HOUSEHOLD</v>
      </c>
      <c r="G103" s="6" t="str">
        <f t="shared" si="15"/>
        <v>TOILET PAPER</v>
      </c>
      <c r="H103" s="8">
        <v>9</v>
      </c>
      <c r="I103" s="8">
        <v>53</v>
      </c>
      <c r="J103" s="8">
        <f t="shared" si="16"/>
        <v>477</v>
      </c>
      <c r="K103" s="6" t="s">
        <v>42</v>
      </c>
      <c r="L103" s="9">
        <v>45840</v>
      </c>
      <c r="M103" s="1" t="str">
        <f t="shared" si="21"/>
        <v>BENIN CITY</v>
      </c>
      <c r="Q103" s="1" t="s">
        <v>16</v>
      </c>
      <c r="S103" s="1" t="str">
        <f t="shared" si="23"/>
        <v>Toilet Paper</v>
      </c>
      <c r="U103" s="1" t="s">
        <v>28</v>
      </c>
      <c r="W103" s="1" t="str">
        <f t="shared" si="19"/>
        <v>Household</v>
      </c>
      <c r="Y103" s="16" t="s">
        <v>24</v>
      </c>
      <c r="AA103" s="1" t="s">
        <v>19</v>
      </c>
      <c r="AC103" s="5" t="str">
        <f t="shared" si="20"/>
        <v>ERIK NGUYEN</v>
      </c>
      <c r="AE103" s="1" t="s">
        <v>241</v>
      </c>
    </row>
    <row r="104" spans="2:31" x14ac:dyDescent="0.25">
      <c r="B104" s="6">
        <v>103</v>
      </c>
      <c r="C104" s="3" t="s">
        <v>242</v>
      </c>
      <c r="D104" s="4" t="str">
        <f t="shared" si="22"/>
        <v>FELICIA DUNCAN</v>
      </c>
      <c r="E104" s="6" t="str">
        <f t="shared" si="13"/>
        <v>FEMALE</v>
      </c>
      <c r="F104" s="6" t="str">
        <f t="shared" si="14"/>
        <v>SNACKS</v>
      </c>
      <c r="G104" s="6" t="str">
        <f t="shared" si="15"/>
        <v>BISCUITS</v>
      </c>
      <c r="H104" s="8">
        <v>3</v>
      </c>
      <c r="I104" s="8">
        <v>272</v>
      </c>
      <c r="J104" s="8">
        <f t="shared" si="16"/>
        <v>816</v>
      </c>
      <c r="K104" s="6" t="s">
        <v>42</v>
      </c>
      <c r="L104" s="9">
        <v>45811</v>
      </c>
      <c r="M104" s="1" t="str">
        <f t="shared" si="21"/>
        <v>PORT HARCOURT</v>
      </c>
      <c r="Q104" s="1" t="s">
        <v>10</v>
      </c>
      <c r="S104" s="1" t="str">
        <f t="shared" si="23"/>
        <v>Biscuits</v>
      </c>
      <c r="U104" s="1" t="s">
        <v>8</v>
      </c>
      <c r="W104" s="1" t="str">
        <f t="shared" si="19"/>
        <v>Snacks</v>
      </c>
      <c r="Y104" s="16" t="s">
        <v>7</v>
      </c>
      <c r="AA104" s="1" t="s">
        <v>6</v>
      </c>
      <c r="AC104" s="5" t="str">
        <f t="shared" si="20"/>
        <v>FELICIA DUNCAN</v>
      </c>
      <c r="AE104" s="1" t="s">
        <v>243</v>
      </c>
    </row>
    <row r="105" spans="2:31" x14ac:dyDescent="0.25">
      <c r="B105" s="6">
        <v>104</v>
      </c>
      <c r="C105" s="3" t="s">
        <v>244</v>
      </c>
      <c r="D105" s="4" t="str">
        <f t="shared" si="22"/>
        <v>JENNIFER FLORES</v>
      </c>
      <c r="E105" s="6" t="str">
        <f t="shared" si="13"/>
        <v>MALE</v>
      </c>
      <c r="F105" s="6" t="str">
        <f t="shared" si="14"/>
        <v>PERSONAL CARE</v>
      </c>
      <c r="G105" s="6" t="str">
        <f t="shared" si="15"/>
        <v>DEODORANT</v>
      </c>
      <c r="H105" s="8">
        <v>8</v>
      </c>
      <c r="I105" s="8">
        <v>814</v>
      </c>
      <c r="J105" s="8">
        <f t="shared" si="16"/>
        <v>6512</v>
      </c>
      <c r="K105" s="6" t="s">
        <v>20</v>
      </c>
      <c r="L105" s="9">
        <v>45820</v>
      </c>
      <c r="M105" s="1" t="str">
        <f t="shared" si="21"/>
        <v>BENIN CITY</v>
      </c>
      <c r="Q105" s="1" t="s">
        <v>16</v>
      </c>
      <c r="S105" s="1" t="str">
        <f t="shared" si="23"/>
        <v>Deodorant</v>
      </c>
      <c r="U105" s="1" t="s">
        <v>159</v>
      </c>
      <c r="W105" s="1" t="str">
        <f t="shared" si="19"/>
        <v>Personal Care</v>
      </c>
      <c r="Y105" s="16" t="s">
        <v>555</v>
      </c>
      <c r="AA105" s="1" t="s">
        <v>19</v>
      </c>
      <c r="AC105" s="5" t="str">
        <f t="shared" si="20"/>
        <v>JENNIFER FLORES</v>
      </c>
      <c r="AE105" s="1" t="s">
        <v>245</v>
      </c>
    </row>
    <row r="106" spans="2:31" x14ac:dyDescent="0.25">
      <c r="B106" s="6">
        <v>105</v>
      </c>
      <c r="C106" s="3" t="s">
        <v>246</v>
      </c>
      <c r="D106" s="4" t="str">
        <f t="shared" si="22"/>
        <v>ROBERT OWENS</v>
      </c>
      <c r="E106" s="6" t="str">
        <f t="shared" si="13"/>
        <v>FEMALE</v>
      </c>
      <c r="F106" s="6" t="str">
        <f t="shared" si="14"/>
        <v>BEVERAGES</v>
      </c>
      <c r="G106" s="6" t="str">
        <f t="shared" si="15"/>
        <v>JUICE</v>
      </c>
      <c r="H106" s="8">
        <v>8</v>
      </c>
      <c r="I106" s="8">
        <v>685</v>
      </c>
      <c r="J106" s="8">
        <f t="shared" si="16"/>
        <v>5480</v>
      </c>
      <c r="K106" s="6" t="s">
        <v>15</v>
      </c>
      <c r="L106" s="9">
        <v>45833</v>
      </c>
      <c r="M106" s="1" t="str">
        <f t="shared" si="21"/>
        <v>IBADAN</v>
      </c>
      <c r="Q106" s="1" t="s">
        <v>25</v>
      </c>
      <c r="S106" s="1" t="str">
        <f t="shared" si="23"/>
        <v>Juice</v>
      </c>
      <c r="U106" s="1" t="s">
        <v>68</v>
      </c>
      <c r="W106" s="1" t="str">
        <f t="shared" si="19"/>
        <v>Beverages</v>
      </c>
      <c r="Y106" s="16" t="s">
        <v>13</v>
      </c>
      <c r="AA106" s="1" t="s">
        <v>6</v>
      </c>
      <c r="AC106" s="5" t="str">
        <f t="shared" si="20"/>
        <v>ROBERT OWENS</v>
      </c>
      <c r="AE106" s="1" t="s">
        <v>247</v>
      </c>
    </row>
    <row r="107" spans="2:31" x14ac:dyDescent="0.25">
      <c r="B107" s="6">
        <v>106</v>
      </c>
      <c r="C107" s="3" t="s">
        <v>248</v>
      </c>
      <c r="D107" s="4" t="str">
        <f t="shared" si="22"/>
        <v>LINDA ADAMS</v>
      </c>
      <c r="E107" s="6" t="str">
        <f t="shared" si="13"/>
        <v>MALE</v>
      </c>
      <c r="F107" s="6" t="str">
        <f t="shared" si="14"/>
        <v>BEVERAGES</v>
      </c>
      <c r="G107" s="6" t="str">
        <f t="shared" si="15"/>
        <v>FANTA</v>
      </c>
      <c r="H107" s="8">
        <v>1</v>
      </c>
      <c r="I107" s="8">
        <v>546</v>
      </c>
      <c r="J107" s="8">
        <f t="shared" si="16"/>
        <v>546</v>
      </c>
      <c r="K107" s="6" t="s">
        <v>9</v>
      </c>
      <c r="L107" s="9">
        <v>45831</v>
      </c>
      <c r="M107" s="1" t="s">
        <v>534</v>
      </c>
      <c r="Q107" s="1" t="s">
        <v>58</v>
      </c>
      <c r="S107" s="1" t="str">
        <f t="shared" si="23"/>
        <v>Fanta</v>
      </c>
      <c r="U107" s="1" t="s">
        <v>14</v>
      </c>
      <c r="W107" s="1" t="str">
        <f t="shared" si="19"/>
        <v>Beverages</v>
      </c>
      <c r="Y107" s="16" t="s">
        <v>13</v>
      </c>
      <c r="AA107" s="1" t="s">
        <v>19</v>
      </c>
      <c r="AC107" s="5" t="str">
        <f t="shared" si="20"/>
        <v>LINDA ADAMS</v>
      </c>
      <c r="AE107" s="1" t="s">
        <v>249</v>
      </c>
    </row>
    <row r="108" spans="2:31" x14ac:dyDescent="0.25">
      <c r="B108" s="6">
        <v>107</v>
      </c>
      <c r="C108" s="3" t="s">
        <v>250</v>
      </c>
      <c r="D108" s="4" t="str">
        <f t="shared" si="22"/>
        <v>MARY JOHNSON</v>
      </c>
      <c r="E108" s="6" t="str">
        <f t="shared" si="13"/>
        <v>MALE</v>
      </c>
      <c r="F108" s="6" t="str">
        <f t="shared" si="14"/>
        <v>BEVERAGES</v>
      </c>
      <c r="G108" s="6" t="str">
        <f t="shared" si="15"/>
        <v>COKE</v>
      </c>
      <c r="H108" s="8">
        <v>2</v>
      </c>
      <c r="I108" s="8">
        <v>721</v>
      </c>
      <c r="J108" s="15">
        <f t="shared" si="16"/>
        <v>1442</v>
      </c>
      <c r="K108" s="6" t="s">
        <v>15</v>
      </c>
      <c r="L108" s="9">
        <v>45813</v>
      </c>
      <c r="M108" s="1" t="str">
        <f t="shared" ref="M108:M121" si="24">UPPER(Q108)</f>
        <v>LAGOS</v>
      </c>
      <c r="Q108" s="1" t="s">
        <v>549</v>
      </c>
      <c r="S108" s="1" t="str">
        <f t="shared" si="23"/>
        <v>Coke</v>
      </c>
      <c r="U108" s="1" t="s">
        <v>35</v>
      </c>
      <c r="W108" s="1" t="str">
        <f t="shared" si="19"/>
        <v>Beverages</v>
      </c>
      <c r="Y108" s="16" t="s">
        <v>13</v>
      </c>
      <c r="AA108" s="1" t="s">
        <v>19</v>
      </c>
      <c r="AC108" s="5" t="str">
        <f t="shared" si="20"/>
        <v>MARY JOHNSON</v>
      </c>
      <c r="AE108" s="1" t="s">
        <v>251</v>
      </c>
    </row>
    <row r="109" spans="2:31" x14ac:dyDescent="0.25">
      <c r="B109" s="6">
        <v>108</v>
      </c>
      <c r="C109" s="3" t="s">
        <v>252</v>
      </c>
      <c r="D109" s="4" t="str">
        <f t="shared" si="22"/>
        <v>MICHAEL LEACH</v>
      </c>
      <c r="E109" s="6" t="str">
        <f t="shared" si="13"/>
        <v>FEMALE</v>
      </c>
      <c r="F109" s="6" t="str">
        <f t="shared" si="14"/>
        <v>BEVERAGES</v>
      </c>
      <c r="G109" s="6" t="str">
        <f t="shared" si="15"/>
        <v>FANTA</v>
      </c>
      <c r="H109" s="8">
        <v>5</v>
      </c>
      <c r="I109" s="8">
        <v>812</v>
      </c>
      <c r="J109" s="8">
        <f t="shared" si="16"/>
        <v>4060</v>
      </c>
      <c r="K109" s="6" t="s">
        <v>20</v>
      </c>
      <c r="L109" s="9">
        <v>45839</v>
      </c>
      <c r="M109" s="1" t="str">
        <f t="shared" si="24"/>
        <v>PORT HARCOURT</v>
      </c>
      <c r="Q109" s="1" t="s">
        <v>10</v>
      </c>
      <c r="S109" s="1" t="str">
        <f t="shared" si="23"/>
        <v>Fanta</v>
      </c>
      <c r="U109" s="1" t="s">
        <v>14</v>
      </c>
      <c r="W109" s="1" t="str">
        <f t="shared" si="19"/>
        <v>Beverages</v>
      </c>
      <c r="Y109" s="16" t="s">
        <v>13</v>
      </c>
      <c r="AA109" s="1" t="s">
        <v>6</v>
      </c>
      <c r="AC109" s="5" t="str">
        <f t="shared" si="20"/>
        <v>MICHAEL LEACH</v>
      </c>
      <c r="AE109" s="1" t="s">
        <v>253</v>
      </c>
    </row>
    <row r="110" spans="2:31" x14ac:dyDescent="0.25">
      <c r="B110" s="6">
        <v>109</v>
      </c>
      <c r="C110" s="3" t="s">
        <v>254</v>
      </c>
      <c r="D110" s="4" t="str">
        <f t="shared" si="22"/>
        <v>MATTHEW TYLER</v>
      </c>
      <c r="E110" s="6" t="str">
        <f t="shared" si="13"/>
        <v>MALE</v>
      </c>
      <c r="F110" s="6" t="str">
        <f t="shared" si="14"/>
        <v>HOUSEHOLD</v>
      </c>
      <c r="G110" s="6" t="str">
        <f t="shared" si="15"/>
        <v>TOILET PAPER</v>
      </c>
      <c r="H110" s="8">
        <v>8</v>
      </c>
      <c r="I110" s="8">
        <v>335</v>
      </c>
      <c r="J110" s="8">
        <f t="shared" si="16"/>
        <v>2680</v>
      </c>
      <c r="K110" s="6" t="s">
        <v>9</v>
      </c>
      <c r="L110" s="9">
        <v>45839</v>
      </c>
      <c r="M110" s="1" t="str">
        <f t="shared" si="24"/>
        <v>ABUJA</v>
      </c>
      <c r="Q110" s="1" t="s">
        <v>58</v>
      </c>
      <c r="S110" s="1" t="str">
        <f t="shared" si="23"/>
        <v>Toilet Paper</v>
      </c>
      <c r="U110" s="1" t="s">
        <v>28</v>
      </c>
      <c r="W110" s="1" t="str">
        <f t="shared" si="19"/>
        <v>Household</v>
      </c>
      <c r="Y110" s="16" t="s">
        <v>24</v>
      </c>
      <c r="AA110" s="1" t="s">
        <v>19</v>
      </c>
      <c r="AC110" s="5" t="str">
        <f t="shared" si="20"/>
        <v>MATTHEW TYLER</v>
      </c>
      <c r="AE110" s="1" t="s">
        <v>255</v>
      </c>
    </row>
    <row r="111" spans="2:31" x14ac:dyDescent="0.25">
      <c r="B111" s="6">
        <v>110</v>
      </c>
      <c r="C111" s="3" t="s">
        <v>256</v>
      </c>
      <c r="D111" s="4" t="str">
        <f t="shared" si="22"/>
        <v>JONATHAN PETERSON</v>
      </c>
      <c r="E111" s="6" t="str">
        <f t="shared" si="13"/>
        <v>FEMALE</v>
      </c>
      <c r="F111" s="6" t="str">
        <f t="shared" si="14"/>
        <v>SNACKS</v>
      </c>
      <c r="G111" s="6" t="str">
        <f t="shared" si="15"/>
        <v>COOKIES</v>
      </c>
      <c r="H111" s="8">
        <v>7</v>
      </c>
      <c r="I111" s="8">
        <v>756</v>
      </c>
      <c r="J111" s="8">
        <f t="shared" si="16"/>
        <v>5292</v>
      </c>
      <c r="K111" s="6" t="s">
        <v>42</v>
      </c>
      <c r="L111" s="9">
        <v>45827</v>
      </c>
      <c r="M111" s="1" t="str">
        <f t="shared" si="24"/>
        <v>KANO</v>
      </c>
      <c r="Q111" s="1" t="s">
        <v>72</v>
      </c>
      <c r="S111" s="1" t="str">
        <f t="shared" si="23"/>
        <v>Cookies</v>
      </c>
      <c r="U111" s="1" t="s">
        <v>71</v>
      </c>
      <c r="W111" s="1" t="str">
        <f t="shared" si="19"/>
        <v>Snacks</v>
      </c>
      <c r="Y111" s="16" t="s">
        <v>7</v>
      </c>
      <c r="AA111" s="1" t="s">
        <v>6</v>
      </c>
      <c r="AC111" s="5" t="str">
        <f t="shared" si="20"/>
        <v>JONATHAN PETERSON</v>
      </c>
      <c r="AE111" s="1" t="s">
        <v>257</v>
      </c>
    </row>
    <row r="112" spans="2:31" x14ac:dyDescent="0.25">
      <c r="B112" s="6">
        <v>111</v>
      </c>
      <c r="C112" s="3" t="s">
        <v>258</v>
      </c>
      <c r="D112" s="4" t="str">
        <f t="shared" si="22"/>
        <v>LINDSAY MARTINEZ</v>
      </c>
      <c r="E112" s="6" t="str">
        <f t="shared" si="13"/>
        <v>FEMALE</v>
      </c>
      <c r="F112" s="6" t="str">
        <f t="shared" si="14"/>
        <v>PERSONAL CARE</v>
      </c>
      <c r="G112" s="6" t="str">
        <f t="shared" si="15"/>
        <v>LOTION</v>
      </c>
      <c r="H112" s="8">
        <v>8</v>
      </c>
      <c r="I112" s="8">
        <v>693</v>
      </c>
      <c r="J112" s="8">
        <f t="shared" si="16"/>
        <v>5544</v>
      </c>
      <c r="K112" s="6" t="s">
        <v>42</v>
      </c>
      <c r="L112" s="9">
        <v>45816</v>
      </c>
      <c r="M112" s="1" t="str">
        <f t="shared" si="24"/>
        <v>KANO</v>
      </c>
      <c r="Q112" s="1" t="s">
        <v>72</v>
      </c>
      <c r="S112" s="1" t="str">
        <f t="shared" si="23"/>
        <v>Lotion</v>
      </c>
      <c r="U112" s="1" t="s">
        <v>49</v>
      </c>
      <c r="W112" s="1" t="str">
        <f t="shared" si="19"/>
        <v>Personal Care</v>
      </c>
      <c r="Y112" s="16" t="s">
        <v>555</v>
      </c>
      <c r="AA112" s="1" t="s">
        <v>6</v>
      </c>
      <c r="AC112" s="5" t="str">
        <f t="shared" si="20"/>
        <v>LINDSAY MARTINEZ</v>
      </c>
      <c r="AE112" s="1" t="s">
        <v>259</v>
      </c>
    </row>
    <row r="113" spans="2:31" x14ac:dyDescent="0.25">
      <c r="B113" s="6">
        <v>112</v>
      </c>
      <c r="C113" s="3" t="s">
        <v>260</v>
      </c>
      <c r="D113" s="4" t="str">
        <f t="shared" si="22"/>
        <v>DANIEL ANDERSON</v>
      </c>
      <c r="E113" s="6" t="str">
        <f t="shared" si="13"/>
        <v>MALE</v>
      </c>
      <c r="F113" s="6" t="str">
        <f t="shared" si="14"/>
        <v>BEVERAGES</v>
      </c>
      <c r="G113" s="6" t="str">
        <f t="shared" si="15"/>
        <v>PEPSI</v>
      </c>
      <c r="H113" s="8">
        <v>10</v>
      </c>
      <c r="I113" s="8">
        <v>981</v>
      </c>
      <c r="J113" s="8">
        <f t="shared" si="16"/>
        <v>9810</v>
      </c>
      <c r="K113" s="6" t="s">
        <v>9</v>
      </c>
      <c r="L113" s="9">
        <v>45812</v>
      </c>
      <c r="M113" s="1" t="str">
        <f t="shared" si="24"/>
        <v>BENIN CITY</v>
      </c>
      <c r="Q113" s="1" t="s">
        <v>16</v>
      </c>
      <c r="S113" s="1" t="str">
        <f t="shared" si="23"/>
        <v>Pepsi</v>
      </c>
      <c r="U113" s="1" t="s">
        <v>82</v>
      </c>
      <c r="W113" s="1" t="str">
        <f t="shared" si="19"/>
        <v>Beverages</v>
      </c>
      <c r="Y113" s="16" t="s">
        <v>13</v>
      </c>
      <c r="AA113" s="1" t="s">
        <v>19</v>
      </c>
      <c r="AC113" s="5" t="str">
        <f t="shared" si="20"/>
        <v>DANIEL ANDERSON</v>
      </c>
      <c r="AE113" s="1" t="s">
        <v>261</v>
      </c>
    </row>
    <row r="114" spans="2:31" x14ac:dyDescent="0.25">
      <c r="B114" s="6">
        <v>113</v>
      </c>
      <c r="C114" s="3" t="s">
        <v>262</v>
      </c>
      <c r="D114" s="4" t="str">
        <f t="shared" si="22"/>
        <v>MEGAN VAUGHN</v>
      </c>
      <c r="E114" s="6" t="str">
        <f t="shared" si="13"/>
        <v>MALE</v>
      </c>
      <c r="F114" s="6" t="str">
        <f t="shared" si="14"/>
        <v>SNACKS</v>
      </c>
      <c r="G114" s="6" t="str">
        <f t="shared" si="15"/>
        <v>CHIN CHIN</v>
      </c>
      <c r="H114" s="8">
        <v>140</v>
      </c>
      <c r="I114" s="8">
        <v>718</v>
      </c>
      <c r="J114" s="8">
        <f t="shared" si="16"/>
        <v>100520</v>
      </c>
      <c r="K114" s="6" t="s">
        <v>20</v>
      </c>
      <c r="L114" s="9">
        <v>45811</v>
      </c>
      <c r="M114" s="1" t="str">
        <f t="shared" si="24"/>
        <v>ABUJA</v>
      </c>
      <c r="Q114" s="1" t="s">
        <v>58</v>
      </c>
      <c r="S114" s="1" t="str">
        <f t="shared" si="23"/>
        <v>Chin Chin</v>
      </c>
      <c r="U114" s="1" t="s">
        <v>41</v>
      </c>
      <c r="W114" s="1" t="str">
        <f t="shared" si="19"/>
        <v>Snacks</v>
      </c>
      <c r="Y114" s="16" t="s">
        <v>7</v>
      </c>
      <c r="AA114" s="1" t="s">
        <v>19</v>
      </c>
      <c r="AC114" s="5" t="str">
        <f t="shared" si="20"/>
        <v>MEGAN VAUGHN</v>
      </c>
      <c r="AE114" s="1" t="s">
        <v>263</v>
      </c>
    </row>
    <row r="115" spans="2:31" x14ac:dyDescent="0.25">
      <c r="B115" s="6">
        <v>114</v>
      </c>
      <c r="C115" s="3" t="s">
        <v>264</v>
      </c>
      <c r="D115" s="4" t="str">
        <f t="shared" si="22"/>
        <v>LINDA RODRIGUEZ</v>
      </c>
      <c r="E115" s="6" t="str">
        <f t="shared" si="13"/>
        <v>MALE</v>
      </c>
      <c r="F115" s="6" t="str">
        <f t="shared" si="14"/>
        <v>PERSONAL CARE</v>
      </c>
      <c r="G115" s="6" t="str">
        <f t="shared" si="15"/>
        <v>DEODORANT</v>
      </c>
      <c r="H115" s="8">
        <v>6</v>
      </c>
      <c r="I115" s="8">
        <v>946</v>
      </c>
      <c r="J115" s="8">
        <f t="shared" si="16"/>
        <v>5676</v>
      </c>
      <c r="K115" s="6" t="s">
        <v>9</v>
      </c>
      <c r="L115" s="9">
        <v>45819</v>
      </c>
      <c r="M115" s="1" t="str">
        <f t="shared" si="24"/>
        <v>PORT HARCOURT</v>
      </c>
      <c r="Q115" s="1" t="s">
        <v>10</v>
      </c>
      <c r="S115" s="1" t="str">
        <f t="shared" si="23"/>
        <v>Deodorant</v>
      </c>
      <c r="U115" s="1" t="s">
        <v>159</v>
      </c>
      <c r="W115" s="1" t="str">
        <f t="shared" si="19"/>
        <v>Personal Care</v>
      </c>
      <c r="Y115" s="16" t="s">
        <v>555</v>
      </c>
      <c r="AA115" s="1" t="s">
        <v>19</v>
      </c>
      <c r="AC115" s="5" t="str">
        <f t="shared" si="20"/>
        <v>LINDA RODRIGUEZ</v>
      </c>
      <c r="AE115" s="1" t="s">
        <v>265</v>
      </c>
    </row>
    <row r="116" spans="2:31" x14ac:dyDescent="0.25">
      <c r="B116" s="6">
        <v>115</v>
      </c>
      <c r="C116" s="3" t="s">
        <v>266</v>
      </c>
      <c r="D116" s="4" t="str">
        <f t="shared" si="22"/>
        <v>AMY LEWIS</v>
      </c>
      <c r="E116" s="6" t="str">
        <f t="shared" si="13"/>
        <v>FEMALE</v>
      </c>
      <c r="F116" s="6" t="str">
        <f t="shared" si="14"/>
        <v>PERSONAL CARE</v>
      </c>
      <c r="G116" s="6" t="str">
        <f t="shared" si="15"/>
        <v>DEODORANT</v>
      </c>
      <c r="H116" s="8">
        <v>8</v>
      </c>
      <c r="I116" s="8">
        <v>681</v>
      </c>
      <c r="J116" s="8">
        <f t="shared" si="16"/>
        <v>5448</v>
      </c>
      <c r="K116" s="6" t="s">
        <v>15</v>
      </c>
      <c r="L116" s="9">
        <v>45832</v>
      </c>
      <c r="M116" s="1" t="str">
        <f t="shared" si="24"/>
        <v>PORT HARCOURT</v>
      </c>
      <c r="Q116" s="1" t="s">
        <v>10</v>
      </c>
      <c r="S116" s="1" t="str">
        <f t="shared" si="23"/>
        <v>Deodorant</v>
      </c>
      <c r="U116" s="1" t="s">
        <v>159</v>
      </c>
      <c r="W116" s="1" t="str">
        <f t="shared" si="19"/>
        <v>Personal Care</v>
      </c>
      <c r="Y116" s="16" t="s">
        <v>555</v>
      </c>
      <c r="AA116" s="1" t="s">
        <v>6</v>
      </c>
      <c r="AC116" s="5" t="str">
        <f t="shared" si="20"/>
        <v>AMY LEWIS</v>
      </c>
      <c r="AE116" s="1" t="s">
        <v>267</v>
      </c>
    </row>
    <row r="117" spans="2:31" x14ac:dyDescent="0.25">
      <c r="B117" s="6">
        <v>116</v>
      </c>
      <c r="C117" s="3" t="s">
        <v>268</v>
      </c>
      <c r="D117" s="4" t="str">
        <f t="shared" si="22"/>
        <v>PHILLIP WALKER</v>
      </c>
      <c r="E117" s="6" t="str">
        <f t="shared" si="13"/>
        <v>MALE</v>
      </c>
      <c r="F117" s="6" t="str">
        <f t="shared" si="14"/>
        <v>PERSONAL CARE</v>
      </c>
      <c r="G117" s="6" t="str">
        <f t="shared" si="15"/>
        <v>TOOTHPASTE</v>
      </c>
      <c r="H117" s="8">
        <v>5</v>
      </c>
      <c r="I117" s="8">
        <v>278</v>
      </c>
      <c r="J117" s="8">
        <f t="shared" si="16"/>
        <v>1390</v>
      </c>
      <c r="K117" s="6" t="s">
        <v>15</v>
      </c>
      <c r="L117" s="9">
        <v>45823</v>
      </c>
      <c r="M117" s="1" t="str">
        <f t="shared" si="24"/>
        <v>BENIN CITY</v>
      </c>
      <c r="Q117" s="1" t="s">
        <v>16</v>
      </c>
      <c r="S117" s="1" t="str">
        <f t="shared" si="23"/>
        <v>Toothpaste</v>
      </c>
      <c r="U117" s="1" t="s">
        <v>164</v>
      </c>
      <c r="W117" s="1" t="str">
        <f t="shared" si="19"/>
        <v>Personal Care</v>
      </c>
      <c r="Y117" s="16" t="s">
        <v>555</v>
      </c>
      <c r="AA117" s="1" t="s">
        <v>19</v>
      </c>
      <c r="AC117" s="5" t="str">
        <f t="shared" si="20"/>
        <v>PHILLIP WALKER</v>
      </c>
      <c r="AE117" s="1" t="s">
        <v>269</v>
      </c>
    </row>
    <row r="118" spans="2:31" x14ac:dyDescent="0.25">
      <c r="B118" s="6">
        <v>117</v>
      </c>
      <c r="C118" s="3" t="s">
        <v>270</v>
      </c>
      <c r="D118" s="4" t="str">
        <f t="shared" si="22"/>
        <v>MELISSA MILLER</v>
      </c>
      <c r="E118" s="6" t="str">
        <f t="shared" si="13"/>
        <v>FEMALE</v>
      </c>
      <c r="F118" s="6" t="str">
        <f t="shared" si="14"/>
        <v>SNACKS</v>
      </c>
      <c r="G118" s="6" t="str">
        <f t="shared" si="15"/>
        <v>CHIN CHIN</v>
      </c>
      <c r="H118" s="8">
        <v>4</v>
      </c>
      <c r="I118" s="8">
        <v>931</v>
      </c>
      <c r="J118" s="8">
        <f t="shared" si="16"/>
        <v>3724</v>
      </c>
      <c r="K118" s="6" t="s">
        <v>15</v>
      </c>
      <c r="L118" s="9">
        <v>45814</v>
      </c>
      <c r="M118" s="1" t="str">
        <f t="shared" si="24"/>
        <v>BENIN CITY</v>
      </c>
      <c r="Q118" s="1" t="s">
        <v>16</v>
      </c>
      <c r="S118" s="1" t="str">
        <f t="shared" si="23"/>
        <v>Chin Chin</v>
      </c>
      <c r="U118" s="1" t="s">
        <v>41</v>
      </c>
      <c r="W118" s="1" t="str">
        <f t="shared" si="19"/>
        <v>Snacks</v>
      </c>
      <c r="Y118" s="16" t="s">
        <v>7</v>
      </c>
      <c r="AA118" s="1" t="s">
        <v>6</v>
      </c>
      <c r="AC118" s="5" t="str">
        <f t="shared" si="20"/>
        <v>MELISSA MILLER</v>
      </c>
      <c r="AE118" s="1" t="s">
        <v>271</v>
      </c>
    </row>
    <row r="119" spans="2:31" x14ac:dyDescent="0.25">
      <c r="B119" s="6">
        <v>118</v>
      </c>
      <c r="C119" s="3" t="s">
        <v>272</v>
      </c>
      <c r="D119" s="4" t="str">
        <f t="shared" si="22"/>
        <v>SARA MILLER</v>
      </c>
      <c r="E119" s="6" t="str">
        <f t="shared" si="13"/>
        <v>FEMALE</v>
      </c>
      <c r="F119" s="6" t="str">
        <f t="shared" si="14"/>
        <v>HOUSEHOLD</v>
      </c>
      <c r="G119" s="6" t="str">
        <f t="shared" si="15"/>
        <v>TOILET PAPER</v>
      </c>
      <c r="H119" s="8">
        <v>10</v>
      </c>
      <c r="I119" s="8">
        <v>957</v>
      </c>
      <c r="J119" s="8">
        <f t="shared" si="16"/>
        <v>9570</v>
      </c>
      <c r="K119" s="6" t="s">
        <v>20</v>
      </c>
      <c r="L119" s="9">
        <v>45811</v>
      </c>
      <c r="M119" s="1" t="str">
        <f t="shared" si="24"/>
        <v>KANO</v>
      </c>
      <c r="Q119" s="1" t="s">
        <v>72</v>
      </c>
      <c r="S119" s="1" t="str">
        <f t="shared" si="23"/>
        <v>Toilet Paper</v>
      </c>
      <c r="U119" s="1" t="s">
        <v>28</v>
      </c>
      <c r="W119" s="1" t="str">
        <f t="shared" si="19"/>
        <v>Household</v>
      </c>
      <c r="Y119" s="16" t="s">
        <v>24</v>
      </c>
      <c r="AA119" s="1" t="s">
        <v>6</v>
      </c>
      <c r="AC119" s="5" t="str">
        <f t="shared" si="20"/>
        <v>SARA MILLER</v>
      </c>
      <c r="AE119" s="1" t="s">
        <v>273</v>
      </c>
    </row>
    <row r="120" spans="2:31" x14ac:dyDescent="0.25">
      <c r="B120" s="6">
        <v>119</v>
      </c>
      <c r="C120" s="3" t="s">
        <v>274</v>
      </c>
      <c r="D120" s="4" t="str">
        <f t="shared" si="22"/>
        <v>LORI GARNER</v>
      </c>
      <c r="E120" s="6" t="str">
        <f t="shared" si="13"/>
        <v>MALE</v>
      </c>
      <c r="F120" s="6" t="str">
        <f t="shared" si="14"/>
        <v>HOUSEHOLD</v>
      </c>
      <c r="G120" s="6" t="str">
        <f t="shared" si="15"/>
        <v>SOAP</v>
      </c>
      <c r="H120" s="8">
        <v>7</v>
      </c>
      <c r="I120" s="8">
        <v>905</v>
      </c>
      <c r="J120" s="8">
        <f t="shared" si="16"/>
        <v>6335</v>
      </c>
      <c r="K120" s="6" t="s">
        <v>42</v>
      </c>
      <c r="L120" s="9">
        <v>45840</v>
      </c>
      <c r="M120" s="1" t="str">
        <f t="shared" si="24"/>
        <v>BENIN CITY</v>
      </c>
      <c r="Q120" s="1" t="s">
        <v>16</v>
      </c>
      <c r="S120" s="1" t="str">
        <f t="shared" si="23"/>
        <v>Soap</v>
      </c>
      <c r="U120" s="1" t="s">
        <v>32</v>
      </c>
      <c r="W120" s="1" t="str">
        <f t="shared" si="19"/>
        <v>Household</v>
      </c>
      <c r="Y120" s="16" t="s">
        <v>24</v>
      </c>
      <c r="AA120" s="1" t="s">
        <v>19</v>
      </c>
      <c r="AC120" s="5" t="str">
        <f t="shared" si="20"/>
        <v>LORI GARNER</v>
      </c>
      <c r="AE120" s="1" t="s">
        <v>275</v>
      </c>
    </row>
    <row r="121" spans="2:31" x14ac:dyDescent="0.25">
      <c r="B121" s="6">
        <v>120</v>
      </c>
      <c r="C121" s="3" t="s">
        <v>276</v>
      </c>
      <c r="D121" s="4" t="str">
        <f t="shared" si="22"/>
        <v>TYRONE SOTO</v>
      </c>
      <c r="E121" s="6" t="str">
        <f t="shared" si="13"/>
        <v>FEMALE</v>
      </c>
      <c r="F121" s="6" t="str">
        <f t="shared" si="14"/>
        <v>BEVERAGES</v>
      </c>
      <c r="G121" s="6" t="str">
        <f t="shared" si="15"/>
        <v>PEPSI</v>
      </c>
      <c r="H121" s="8">
        <v>1</v>
      </c>
      <c r="I121" s="8">
        <v>660</v>
      </c>
      <c r="J121" s="8">
        <f t="shared" si="16"/>
        <v>660</v>
      </c>
      <c r="K121" s="6" t="s">
        <v>42</v>
      </c>
      <c r="L121" s="9">
        <v>45833</v>
      </c>
      <c r="M121" s="1" t="str">
        <f t="shared" si="24"/>
        <v>KANO</v>
      </c>
      <c r="Q121" s="1" t="s">
        <v>72</v>
      </c>
      <c r="S121" s="1" t="str">
        <f t="shared" si="23"/>
        <v>Pepsi</v>
      </c>
      <c r="U121" s="1" t="s">
        <v>82</v>
      </c>
      <c r="W121" s="1" t="str">
        <f t="shared" si="19"/>
        <v>Beverages</v>
      </c>
      <c r="Y121" s="16" t="s">
        <v>13</v>
      </c>
      <c r="AA121" s="1" t="s">
        <v>6</v>
      </c>
      <c r="AC121" s="5" t="str">
        <f t="shared" si="20"/>
        <v xml:space="preserve">  TYRONE SOTO  </v>
      </c>
      <c r="AE121" s="1" t="s">
        <v>277</v>
      </c>
    </row>
    <row r="122" spans="2:31" x14ac:dyDescent="0.25">
      <c r="B122" s="6">
        <v>121</v>
      </c>
      <c r="C122" s="3" t="s">
        <v>278</v>
      </c>
      <c r="D122" s="4" t="str">
        <f t="shared" si="22"/>
        <v>KAREN HANSEN</v>
      </c>
      <c r="E122" s="6" t="str">
        <f t="shared" si="13"/>
        <v>FEMALE</v>
      </c>
      <c r="F122" s="6" t="str">
        <f t="shared" si="14"/>
        <v>SNACKS</v>
      </c>
      <c r="G122" s="6" t="str">
        <f t="shared" si="15"/>
        <v>CHIN CHIN</v>
      </c>
      <c r="H122" s="8">
        <v>4</v>
      </c>
      <c r="I122" s="8">
        <v>986</v>
      </c>
      <c r="J122" s="8">
        <f t="shared" si="16"/>
        <v>3944</v>
      </c>
      <c r="K122" s="6" t="s">
        <v>9</v>
      </c>
      <c r="L122" s="9">
        <v>45826</v>
      </c>
      <c r="M122" s="1" t="s">
        <v>535</v>
      </c>
      <c r="Q122" s="1" t="s">
        <v>280</v>
      </c>
      <c r="S122" s="1" t="str">
        <f t="shared" si="23"/>
        <v>Chin Chin</v>
      </c>
      <c r="U122" s="1" t="s">
        <v>41</v>
      </c>
      <c r="W122" s="1" t="str">
        <f t="shared" si="19"/>
        <v>Snacks</v>
      </c>
      <c r="Y122" s="16" t="s">
        <v>7</v>
      </c>
      <c r="AA122" s="1" t="s">
        <v>6</v>
      </c>
      <c r="AC122" s="5" t="str">
        <f t="shared" si="20"/>
        <v>KAREN HANSEN</v>
      </c>
      <c r="AE122" s="1" t="s">
        <v>279</v>
      </c>
    </row>
    <row r="123" spans="2:31" x14ac:dyDescent="0.25">
      <c r="B123" s="6">
        <v>122</v>
      </c>
      <c r="C123" s="3" t="s">
        <v>281</v>
      </c>
      <c r="D123" s="4" t="str">
        <f t="shared" ref="D123:D145" si="25">TRIM(AC123)</f>
        <v>STEVEN PARKER</v>
      </c>
      <c r="E123" s="6" t="str">
        <f t="shared" si="13"/>
        <v>MALE</v>
      </c>
      <c r="F123" s="6" t="str">
        <f t="shared" si="14"/>
        <v>BEVERAGES</v>
      </c>
      <c r="G123" s="6" t="str">
        <f t="shared" si="15"/>
        <v>FANTA</v>
      </c>
      <c r="H123" s="8">
        <v>2</v>
      </c>
      <c r="I123" s="8">
        <v>435</v>
      </c>
      <c r="J123" s="8">
        <f t="shared" si="16"/>
        <v>870</v>
      </c>
      <c r="K123" s="6" t="s">
        <v>42</v>
      </c>
      <c r="L123" s="9">
        <v>45812</v>
      </c>
      <c r="M123" s="1" t="str">
        <f t="shared" ref="M123:M155" si="26">UPPER(Q123)</f>
        <v>IBADAN</v>
      </c>
      <c r="Q123" s="1" t="s">
        <v>25</v>
      </c>
      <c r="S123" s="1" t="str">
        <f t="shared" si="23"/>
        <v>Fanta</v>
      </c>
      <c r="U123" s="1" t="s">
        <v>14</v>
      </c>
      <c r="W123" s="1" t="str">
        <f t="shared" si="19"/>
        <v>Beverages</v>
      </c>
      <c r="Y123" s="16" t="s">
        <v>13</v>
      </c>
      <c r="AA123" s="1" t="s">
        <v>19</v>
      </c>
      <c r="AC123" s="5" t="str">
        <f t="shared" si="20"/>
        <v>STEVEN PARKER</v>
      </c>
      <c r="AE123" s="1" t="s">
        <v>282</v>
      </c>
    </row>
    <row r="124" spans="2:31" x14ac:dyDescent="0.25">
      <c r="B124" s="6">
        <v>123</v>
      </c>
      <c r="C124" s="3" t="s">
        <v>283</v>
      </c>
      <c r="D124" s="4" t="str">
        <f t="shared" si="25"/>
        <v>STACY FISCHER</v>
      </c>
      <c r="E124" s="6" t="str">
        <f t="shared" si="13"/>
        <v>FEMALE</v>
      </c>
      <c r="F124" s="6" t="str">
        <f t="shared" si="14"/>
        <v>SNACKS</v>
      </c>
      <c r="G124" s="6" t="str">
        <f t="shared" si="15"/>
        <v>GRANOLA BAR</v>
      </c>
      <c r="H124" s="8">
        <v>9</v>
      </c>
      <c r="I124" s="8">
        <v>252</v>
      </c>
      <c r="J124" s="8">
        <f t="shared" si="16"/>
        <v>2268</v>
      </c>
      <c r="K124" s="6" t="s">
        <v>9</v>
      </c>
      <c r="L124" s="9">
        <v>45829</v>
      </c>
      <c r="M124" s="1" t="str">
        <f t="shared" si="26"/>
        <v>LAGOS</v>
      </c>
      <c r="Q124" s="1" t="s">
        <v>29</v>
      </c>
      <c r="S124" s="1" t="str">
        <f t="shared" si="23"/>
        <v>Granola Bar</v>
      </c>
      <c r="U124" s="1" t="s">
        <v>92</v>
      </c>
      <c r="W124" s="1" t="str">
        <f t="shared" si="19"/>
        <v>Snacks</v>
      </c>
      <c r="Y124" s="16" t="s">
        <v>7</v>
      </c>
      <c r="AA124" s="1" t="s">
        <v>6</v>
      </c>
      <c r="AC124" s="5" t="str">
        <f t="shared" si="20"/>
        <v>STACY FISCHER</v>
      </c>
      <c r="AE124" s="1" t="s">
        <v>284</v>
      </c>
    </row>
    <row r="125" spans="2:31" x14ac:dyDescent="0.25">
      <c r="B125" s="6">
        <v>124</v>
      </c>
      <c r="C125" s="3" t="s">
        <v>285</v>
      </c>
      <c r="D125" s="4" t="str">
        <f t="shared" si="25"/>
        <v>AMANDA WALLER</v>
      </c>
      <c r="E125" s="6" t="str">
        <f t="shared" si="13"/>
        <v>MALE</v>
      </c>
      <c r="F125" s="6" t="str">
        <f t="shared" si="14"/>
        <v>SNACKS</v>
      </c>
      <c r="G125" s="6" t="str">
        <f t="shared" si="15"/>
        <v>CHIPS</v>
      </c>
      <c r="H125" s="8">
        <v>5</v>
      </c>
      <c r="I125" s="8">
        <v>136</v>
      </c>
      <c r="J125" s="8">
        <f t="shared" si="16"/>
        <v>680</v>
      </c>
      <c r="K125" s="6" t="s">
        <v>15</v>
      </c>
      <c r="L125" s="9">
        <v>45825</v>
      </c>
      <c r="M125" s="1" t="str">
        <f t="shared" si="26"/>
        <v>BENIN CITY</v>
      </c>
      <c r="Q125" s="1" t="s">
        <v>16</v>
      </c>
      <c r="S125" s="1" t="str">
        <f t="shared" si="23"/>
        <v>Chips</v>
      </c>
      <c r="U125" s="1" t="s">
        <v>103</v>
      </c>
      <c r="W125" s="1" t="str">
        <f t="shared" si="19"/>
        <v>Snacks</v>
      </c>
      <c r="Y125" s="16" t="s">
        <v>7</v>
      </c>
      <c r="AA125" s="1" t="s">
        <v>19</v>
      </c>
      <c r="AC125" s="5" t="str">
        <f t="shared" si="20"/>
        <v>AMANDA WALLER</v>
      </c>
      <c r="AE125" s="1" t="s">
        <v>286</v>
      </c>
    </row>
    <row r="126" spans="2:31" x14ac:dyDescent="0.25">
      <c r="B126" s="6">
        <v>125</v>
      </c>
      <c r="C126" s="3" t="s">
        <v>287</v>
      </c>
      <c r="D126" s="4" t="str">
        <f t="shared" si="25"/>
        <v>TERRENCE KIDD</v>
      </c>
      <c r="E126" s="6" t="str">
        <f t="shared" si="13"/>
        <v>MALE</v>
      </c>
      <c r="F126" s="6" t="str">
        <f t="shared" si="14"/>
        <v>PERSONAL CARE</v>
      </c>
      <c r="G126" s="6" t="str">
        <f t="shared" si="15"/>
        <v>TOOTHPASTE</v>
      </c>
      <c r="H126" s="8">
        <v>2</v>
      </c>
      <c r="I126" s="8">
        <v>716</v>
      </c>
      <c r="J126" s="8">
        <f t="shared" si="16"/>
        <v>1432</v>
      </c>
      <c r="K126" s="6" t="s">
        <v>9</v>
      </c>
      <c r="L126" s="9">
        <v>45829</v>
      </c>
      <c r="M126" s="1" t="str">
        <f t="shared" si="26"/>
        <v>KANO</v>
      </c>
      <c r="Q126" s="1" t="s">
        <v>72</v>
      </c>
      <c r="S126" s="1" t="str">
        <f t="shared" si="23"/>
        <v>Toothpaste</v>
      </c>
      <c r="U126" s="1" t="s">
        <v>164</v>
      </c>
      <c r="W126" s="1" t="str">
        <f t="shared" si="19"/>
        <v>Personal Care</v>
      </c>
      <c r="Y126" s="16" t="s">
        <v>555</v>
      </c>
      <c r="AA126" s="1" t="s">
        <v>19</v>
      </c>
      <c r="AC126" s="5" t="str">
        <f t="shared" si="20"/>
        <v>TERRENCE KIDD</v>
      </c>
      <c r="AE126" s="1" t="s">
        <v>288</v>
      </c>
    </row>
    <row r="127" spans="2:31" x14ac:dyDescent="0.25">
      <c r="B127" s="6">
        <v>126</v>
      </c>
      <c r="C127" s="3" t="s">
        <v>289</v>
      </c>
      <c r="D127" s="4" t="str">
        <f t="shared" si="25"/>
        <v>KYLIE BENNETT</v>
      </c>
      <c r="E127" s="6" t="str">
        <f t="shared" si="13"/>
        <v>MALE</v>
      </c>
      <c r="F127" s="6" t="str">
        <f t="shared" si="14"/>
        <v>BEVERAGES</v>
      </c>
      <c r="G127" s="6" t="str">
        <f t="shared" si="15"/>
        <v>JUICE</v>
      </c>
      <c r="H127" s="8">
        <v>7</v>
      </c>
      <c r="I127" s="8">
        <v>846</v>
      </c>
      <c r="J127" s="8">
        <f t="shared" si="16"/>
        <v>5922</v>
      </c>
      <c r="K127" s="6" t="s">
        <v>15</v>
      </c>
      <c r="L127" s="9">
        <v>45821</v>
      </c>
      <c r="M127" s="1" t="str">
        <f t="shared" si="26"/>
        <v>PORT HARCOURT</v>
      </c>
      <c r="Q127" s="1" t="s">
        <v>10</v>
      </c>
      <c r="S127" s="1" t="str">
        <f t="shared" si="23"/>
        <v>Juice</v>
      </c>
      <c r="U127" s="1" t="s">
        <v>68</v>
      </c>
      <c r="W127" s="1" t="str">
        <f t="shared" si="19"/>
        <v>Beverages</v>
      </c>
      <c r="Y127" s="16" t="s">
        <v>13</v>
      </c>
      <c r="AA127" s="1" t="s">
        <v>19</v>
      </c>
      <c r="AC127" s="5" t="str">
        <f t="shared" si="20"/>
        <v>KYLIE BENNETT</v>
      </c>
      <c r="AE127" s="1" t="s">
        <v>290</v>
      </c>
    </row>
    <row r="128" spans="2:31" x14ac:dyDescent="0.25">
      <c r="B128" s="6">
        <v>127</v>
      </c>
      <c r="C128" s="3" t="s">
        <v>291</v>
      </c>
      <c r="D128" s="4" t="str">
        <f t="shared" si="25"/>
        <v>TROY GIBSON</v>
      </c>
      <c r="E128" s="6" t="str">
        <f t="shared" si="13"/>
        <v>FEMALE</v>
      </c>
      <c r="F128" s="6" t="str">
        <f t="shared" si="14"/>
        <v>HOUSEHOLD</v>
      </c>
      <c r="G128" s="6" t="str">
        <f t="shared" si="15"/>
        <v>AIR FRESHENER</v>
      </c>
      <c r="H128" s="8">
        <v>7</v>
      </c>
      <c r="I128" s="8">
        <v>848</v>
      </c>
      <c r="J128" s="8">
        <f t="shared" si="16"/>
        <v>5936</v>
      </c>
      <c r="K128" s="6" t="s">
        <v>9</v>
      </c>
      <c r="L128" s="9">
        <v>45813</v>
      </c>
      <c r="M128" s="1" t="str">
        <f t="shared" si="26"/>
        <v>KANO</v>
      </c>
      <c r="Q128" s="1" t="s">
        <v>72</v>
      </c>
      <c r="S128" s="1" t="str">
        <f t="shared" si="23"/>
        <v>Air Freshener</v>
      </c>
      <c r="U128" s="1" t="s">
        <v>55</v>
      </c>
      <c r="W128" s="1" t="str">
        <f t="shared" si="19"/>
        <v>Household</v>
      </c>
      <c r="Y128" s="16" t="s">
        <v>24</v>
      </c>
      <c r="AA128" s="1" t="s">
        <v>6</v>
      </c>
      <c r="AC128" s="5" t="str">
        <f t="shared" si="20"/>
        <v>TROY GIBSON</v>
      </c>
      <c r="AE128" s="1" t="s">
        <v>292</v>
      </c>
    </row>
    <row r="129" spans="2:31" x14ac:dyDescent="0.25">
      <c r="B129" s="6">
        <v>128</v>
      </c>
      <c r="C129" s="3" t="s">
        <v>293</v>
      </c>
      <c r="D129" s="4" t="str">
        <f t="shared" si="25"/>
        <v>PENNY HERNANDEZ</v>
      </c>
      <c r="E129" s="6" t="str">
        <f t="shared" si="13"/>
        <v>FEMALE</v>
      </c>
      <c r="F129" s="6" t="str">
        <f t="shared" si="14"/>
        <v>HOUSEHOLD</v>
      </c>
      <c r="G129" s="6" t="str">
        <f t="shared" si="15"/>
        <v>SOAP</v>
      </c>
      <c r="H129" s="8">
        <v>9</v>
      </c>
      <c r="I129" s="8">
        <v>578</v>
      </c>
      <c r="J129" s="8">
        <f t="shared" si="16"/>
        <v>5202</v>
      </c>
      <c r="K129" s="6" t="s">
        <v>15</v>
      </c>
      <c r="L129" s="9">
        <v>45828</v>
      </c>
      <c r="M129" s="1" t="str">
        <f t="shared" si="26"/>
        <v>ABUJA</v>
      </c>
      <c r="Q129" s="1" t="s">
        <v>58</v>
      </c>
      <c r="S129" s="1" t="str">
        <f t="shared" si="23"/>
        <v>Soap</v>
      </c>
      <c r="U129" s="1" t="s">
        <v>32</v>
      </c>
      <c r="W129" s="1" t="str">
        <f t="shared" si="19"/>
        <v>Household</v>
      </c>
      <c r="Y129" s="16" t="s">
        <v>24</v>
      </c>
      <c r="AA129" s="1" t="s">
        <v>6</v>
      </c>
      <c r="AC129" s="5" t="str">
        <f t="shared" si="20"/>
        <v>PENNY HERNANDEZ</v>
      </c>
      <c r="AE129" s="1" t="s">
        <v>294</v>
      </c>
    </row>
    <row r="130" spans="2:31" x14ac:dyDescent="0.25">
      <c r="B130" s="6">
        <v>129</v>
      </c>
      <c r="C130" s="3" t="s">
        <v>295</v>
      </c>
      <c r="D130" s="4" t="str">
        <f t="shared" si="25"/>
        <v>KENNETH MORTON</v>
      </c>
      <c r="E130" s="6" t="str">
        <f t="shared" ref="E130:E193" si="27">UPPER(AA130)</f>
        <v>MALE</v>
      </c>
      <c r="F130" s="6" t="str">
        <f t="shared" ref="F130:F193" si="28">UPPER(W130)</f>
        <v>BEVERAGES</v>
      </c>
      <c r="G130" s="6" t="str">
        <f t="shared" ref="G130:G193" si="29">UPPER(S130)</f>
        <v>FANTA</v>
      </c>
      <c r="H130" s="8">
        <v>8</v>
      </c>
      <c r="I130" s="8">
        <v>657</v>
      </c>
      <c r="J130" s="8">
        <f t="shared" ref="J130:J193" si="30">I130*H130</f>
        <v>5256</v>
      </c>
      <c r="K130" s="6" t="s">
        <v>15</v>
      </c>
      <c r="L130" s="9">
        <v>45826</v>
      </c>
      <c r="M130" s="1" t="str">
        <f t="shared" si="26"/>
        <v>BENIN CITY</v>
      </c>
      <c r="Q130" s="1" t="s">
        <v>16</v>
      </c>
      <c r="S130" s="1" t="str">
        <f t="shared" ref="S130:S161" si="31">TRIM(U130)</f>
        <v>Fanta</v>
      </c>
      <c r="U130" s="1" t="s">
        <v>14</v>
      </c>
      <c r="W130" s="1" t="str">
        <f t="shared" ref="W130:W193" si="32">TRIM(Y130)</f>
        <v>Beverages</v>
      </c>
      <c r="Y130" s="16" t="s">
        <v>13</v>
      </c>
      <c r="AA130" s="1" t="s">
        <v>19</v>
      </c>
      <c r="AC130" s="5" t="str">
        <f t="shared" ref="AC130:AC193" si="33">UPPER(AE130)</f>
        <v>KENNETH MORTON</v>
      </c>
      <c r="AE130" s="1" t="s">
        <v>296</v>
      </c>
    </row>
    <row r="131" spans="2:31" x14ac:dyDescent="0.25">
      <c r="B131" s="6">
        <v>130</v>
      </c>
      <c r="C131" s="3" t="s">
        <v>297</v>
      </c>
      <c r="D131" s="4" t="str">
        <f t="shared" si="25"/>
        <v>KATHERINE CURRY</v>
      </c>
      <c r="E131" s="6" t="str">
        <f t="shared" si="27"/>
        <v>FEMALE</v>
      </c>
      <c r="F131" s="6" t="str">
        <f t="shared" si="28"/>
        <v>SNACKS</v>
      </c>
      <c r="G131" s="6" t="str">
        <f t="shared" si="29"/>
        <v>GRANOLA BAR</v>
      </c>
      <c r="H131" s="8">
        <v>3</v>
      </c>
      <c r="I131" s="8">
        <v>943</v>
      </c>
      <c r="J131" s="8">
        <f t="shared" si="30"/>
        <v>2829</v>
      </c>
      <c r="K131" s="6" t="s">
        <v>9</v>
      </c>
      <c r="L131" s="9">
        <v>45834</v>
      </c>
      <c r="M131" s="1" t="str">
        <f t="shared" si="26"/>
        <v>IBADAN</v>
      </c>
      <c r="Q131" s="1" t="s">
        <v>25</v>
      </c>
      <c r="S131" s="1" t="str">
        <f t="shared" si="31"/>
        <v>Granola Bar</v>
      </c>
      <c r="U131" s="1" t="s">
        <v>92</v>
      </c>
      <c r="W131" s="1" t="str">
        <f t="shared" si="32"/>
        <v>Snacks</v>
      </c>
      <c r="Y131" s="16" t="s">
        <v>7</v>
      </c>
      <c r="AA131" s="1" t="s">
        <v>6</v>
      </c>
      <c r="AC131" s="5" t="str">
        <f t="shared" si="33"/>
        <v>KATHERINE CURRY</v>
      </c>
      <c r="AE131" s="1" t="s">
        <v>298</v>
      </c>
    </row>
    <row r="132" spans="2:31" x14ac:dyDescent="0.25">
      <c r="B132" s="6">
        <v>131</v>
      </c>
      <c r="C132" s="3" t="s">
        <v>299</v>
      </c>
      <c r="D132" s="4" t="str">
        <f t="shared" si="25"/>
        <v>HEATHER SHAW</v>
      </c>
      <c r="E132" s="6" t="str">
        <f t="shared" si="27"/>
        <v>FEMALE</v>
      </c>
      <c r="F132" s="6" t="str">
        <f t="shared" si="28"/>
        <v>PERSONAL CARE</v>
      </c>
      <c r="G132" s="6" t="str">
        <f t="shared" si="29"/>
        <v>HAND SANITIZER</v>
      </c>
      <c r="H132" s="8">
        <v>2</v>
      </c>
      <c r="I132" s="8">
        <v>845</v>
      </c>
      <c r="J132" s="8">
        <f t="shared" si="30"/>
        <v>1690</v>
      </c>
      <c r="K132" s="6" t="s">
        <v>42</v>
      </c>
      <c r="L132" s="9">
        <v>45823</v>
      </c>
      <c r="M132" s="1" t="str">
        <f t="shared" si="26"/>
        <v>KANO</v>
      </c>
      <c r="Q132" s="1" t="s">
        <v>72</v>
      </c>
      <c r="S132" s="1" t="str">
        <f t="shared" si="31"/>
        <v>Hand Sanitizer</v>
      </c>
      <c r="U132" s="1" t="s">
        <v>117</v>
      </c>
      <c r="W132" s="1" t="str">
        <f t="shared" si="32"/>
        <v>Personal Care</v>
      </c>
      <c r="Y132" s="16" t="s">
        <v>555</v>
      </c>
      <c r="AA132" s="1" t="s">
        <v>6</v>
      </c>
      <c r="AC132" s="5" t="str">
        <f t="shared" si="33"/>
        <v>HEATHER SHAW</v>
      </c>
      <c r="AE132" s="1" t="s">
        <v>300</v>
      </c>
    </row>
    <row r="133" spans="2:31" x14ac:dyDescent="0.25">
      <c r="B133" s="6">
        <v>132</v>
      </c>
      <c r="C133" s="3" t="s">
        <v>301</v>
      </c>
      <c r="D133" s="4" t="str">
        <f t="shared" si="25"/>
        <v>SETH ANDERSON</v>
      </c>
      <c r="E133" s="6" t="str">
        <f t="shared" si="27"/>
        <v>FEMALE</v>
      </c>
      <c r="F133" s="6" t="str">
        <f t="shared" si="28"/>
        <v>HOUSEHOLD</v>
      </c>
      <c r="G133" s="6" t="str">
        <f t="shared" si="29"/>
        <v>TOILET PAPER</v>
      </c>
      <c r="H133" s="8">
        <v>10</v>
      </c>
      <c r="I133" s="8">
        <v>622</v>
      </c>
      <c r="J133" s="8">
        <f t="shared" si="30"/>
        <v>6220</v>
      </c>
      <c r="K133" s="6" t="s">
        <v>15</v>
      </c>
      <c r="L133" s="9">
        <v>45818</v>
      </c>
      <c r="M133" s="1" t="str">
        <f t="shared" si="26"/>
        <v>KANO</v>
      </c>
      <c r="Q133" s="1" t="s">
        <v>72</v>
      </c>
      <c r="S133" s="1" t="str">
        <f t="shared" si="31"/>
        <v>Toilet Paper</v>
      </c>
      <c r="U133" s="1" t="s">
        <v>28</v>
      </c>
      <c r="W133" s="1" t="str">
        <f t="shared" si="32"/>
        <v>Household</v>
      </c>
      <c r="Y133" s="16" t="s">
        <v>24</v>
      </c>
      <c r="AA133" s="1" t="s">
        <v>6</v>
      </c>
      <c r="AC133" s="5" t="str">
        <f t="shared" si="33"/>
        <v>SETH ANDERSON</v>
      </c>
      <c r="AE133" s="1" t="s">
        <v>302</v>
      </c>
    </row>
    <row r="134" spans="2:31" x14ac:dyDescent="0.25">
      <c r="B134" s="6">
        <v>133</v>
      </c>
      <c r="C134" s="3" t="s">
        <v>303</v>
      </c>
      <c r="D134" s="4" t="str">
        <f t="shared" si="25"/>
        <v>BETH TYLER</v>
      </c>
      <c r="E134" s="6" t="str">
        <f t="shared" si="27"/>
        <v>FEMALE</v>
      </c>
      <c r="F134" s="6" t="str">
        <f t="shared" si="28"/>
        <v>PERSONAL CARE</v>
      </c>
      <c r="G134" s="6" t="str">
        <f t="shared" si="29"/>
        <v>DEODORANT</v>
      </c>
      <c r="H134" s="8">
        <v>10</v>
      </c>
      <c r="I134" s="8">
        <v>210</v>
      </c>
      <c r="J134" s="8">
        <f t="shared" si="30"/>
        <v>2100</v>
      </c>
      <c r="K134" s="6" t="s">
        <v>9</v>
      </c>
      <c r="L134" s="9">
        <v>45832</v>
      </c>
      <c r="M134" s="1" t="str">
        <f t="shared" si="26"/>
        <v>KANO</v>
      </c>
      <c r="Q134" s="1" t="s">
        <v>72</v>
      </c>
      <c r="S134" s="1" t="str">
        <f t="shared" si="31"/>
        <v>Deodorant</v>
      </c>
      <c r="U134" s="1" t="s">
        <v>159</v>
      </c>
      <c r="W134" s="1" t="str">
        <f t="shared" si="32"/>
        <v>Personal Care</v>
      </c>
      <c r="Y134" s="16" t="s">
        <v>555</v>
      </c>
      <c r="AA134" s="1" t="s">
        <v>6</v>
      </c>
      <c r="AC134" s="5" t="str">
        <f t="shared" si="33"/>
        <v>BETH TYLER</v>
      </c>
      <c r="AE134" s="1" t="s">
        <v>304</v>
      </c>
    </row>
    <row r="135" spans="2:31" x14ac:dyDescent="0.25">
      <c r="B135" s="6">
        <v>134</v>
      </c>
      <c r="C135" s="3" t="s">
        <v>305</v>
      </c>
      <c r="D135" s="4" t="str">
        <f t="shared" si="25"/>
        <v>DONALD INGRAM</v>
      </c>
      <c r="E135" s="6" t="str">
        <f t="shared" si="27"/>
        <v>MALE</v>
      </c>
      <c r="F135" s="6" t="str">
        <f t="shared" si="28"/>
        <v>HOUSEHOLD</v>
      </c>
      <c r="G135" s="6" t="str">
        <f t="shared" si="29"/>
        <v>AIR FRESHENER</v>
      </c>
      <c r="H135" s="8">
        <v>2</v>
      </c>
      <c r="I135" s="8">
        <v>908</v>
      </c>
      <c r="J135" s="8">
        <f t="shared" si="30"/>
        <v>1816</v>
      </c>
      <c r="K135" s="6" t="s">
        <v>20</v>
      </c>
      <c r="L135" s="9">
        <v>45818</v>
      </c>
      <c r="M135" s="1" t="str">
        <f t="shared" si="26"/>
        <v>LAGOS</v>
      </c>
      <c r="Q135" s="1" t="s">
        <v>29</v>
      </c>
      <c r="S135" s="1" t="str">
        <f t="shared" si="31"/>
        <v>Air Freshener</v>
      </c>
      <c r="U135" s="1" t="s">
        <v>55</v>
      </c>
      <c r="W135" s="1" t="str">
        <f t="shared" si="32"/>
        <v>Household</v>
      </c>
      <c r="Y135" s="16" t="s">
        <v>24</v>
      </c>
      <c r="AA135" s="1" t="s">
        <v>19</v>
      </c>
      <c r="AC135" s="5" t="str">
        <f t="shared" si="33"/>
        <v>DONALD INGRAM</v>
      </c>
      <c r="AE135" s="1" t="s">
        <v>306</v>
      </c>
    </row>
    <row r="136" spans="2:31" x14ac:dyDescent="0.25">
      <c r="B136" s="6">
        <v>135</v>
      </c>
      <c r="C136" s="3" t="s">
        <v>307</v>
      </c>
      <c r="D136" s="4" t="str">
        <f t="shared" si="25"/>
        <v>RANDY HUDSON</v>
      </c>
      <c r="E136" s="6" t="str">
        <f t="shared" si="27"/>
        <v>MALE</v>
      </c>
      <c r="F136" s="6" t="str">
        <f t="shared" si="28"/>
        <v>HOUSEHOLD</v>
      </c>
      <c r="G136" s="6" t="str">
        <f t="shared" si="29"/>
        <v>DETERGENT</v>
      </c>
      <c r="H136" s="8">
        <v>1</v>
      </c>
      <c r="I136" s="8">
        <v>128</v>
      </c>
      <c r="J136" s="8">
        <f t="shared" si="30"/>
        <v>128</v>
      </c>
      <c r="K136" s="6" t="s">
        <v>20</v>
      </c>
      <c r="L136" s="9">
        <v>45817</v>
      </c>
      <c r="M136" s="1" t="str">
        <f t="shared" si="26"/>
        <v>BENIN CITY</v>
      </c>
      <c r="Q136" s="1" t="s">
        <v>16</v>
      </c>
      <c r="S136" s="1" t="str">
        <f t="shared" si="31"/>
        <v>Detergent</v>
      </c>
      <c r="U136" s="1" t="s">
        <v>63</v>
      </c>
      <c r="W136" s="1" t="str">
        <f t="shared" si="32"/>
        <v>Household</v>
      </c>
      <c r="Y136" s="16" t="s">
        <v>24</v>
      </c>
      <c r="AA136" s="1" t="s">
        <v>19</v>
      </c>
      <c r="AC136" s="5" t="str">
        <f t="shared" si="33"/>
        <v>RANDY HUDSON</v>
      </c>
      <c r="AE136" s="1" t="s">
        <v>308</v>
      </c>
    </row>
    <row r="137" spans="2:31" x14ac:dyDescent="0.25">
      <c r="B137" s="6">
        <v>136</v>
      </c>
      <c r="C137" s="3" t="s">
        <v>309</v>
      </c>
      <c r="D137" s="4" t="str">
        <f t="shared" si="25"/>
        <v>LAURA FLORES</v>
      </c>
      <c r="E137" s="6" t="str">
        <f t="shared" si="27"/>
        <v>FEMALE</v>
      </c>
      <c r="F137" s="6" t="str">
        <f t="shared" si="28"/>
        <v>PERSONAL CARE</v>
      </c>
      <c r="G137" s="6" t="str">
        <f t="shared" si="29"/>
        <v>LOTION</v>
      </c>
      <c r="H137" s="8">
        <v>10</v>
      </c>
      <c r="I137" s="8">
        <v>908</v>
      </c>
      <c r="J137" s="8">
        <f t="shared" si="30"/>
        <v>9080</v>
      </c>
      <c r="K137" s="6" t="s">
        <v>15</v>
      </c>
      <c r="L137" s="9">
        <v>45831</v>
      </c>
      <c r="M137" s="1" t="str">
        <f t="shared" si="26"/>
        <v>LAGOS</v>
      </c>
      <c r="Q137" s="1" t="s">
        <v>29</v>
      </c>
      <c r="S137" s="1" t="str">
        <f t="shared" si="31"/>
        <v>Lotion</v>
      </c>
      <c r="U137" s="1" t="s">
        <v>49</v>
      </c>
      <c r="W137" s="1" t="str">
        <f t="shared" si="32"/>
        <v>Personal Care</v>
      </c>
      <c r="Y137" s="16" t="s">
        <v>555</v>
      </c>
      <c r="AA137" s="1" t="s">
        <v>6</v>
      </c>
      <c r="AC137" s="5" t="str">
        <f t="shared" si="33"/>
        <v>LAURA FLORES</v>
      </c>
      <c r="AE137" s="1" t="s">
        <v>310</v>
      </c>
    </row>
    <row r="138" spans="2:31" x14ac:dyDescent="0.25">
      <c r="B138" s="6">
        <v>137</v>
      </c>
      <c r="C138" s="3" t="s">
        <v>311</v>
      </c>
      <c r="D138" s="4" t="str">
        <f t="shared" si="25"/>
        <v>MARTIN YOUNG</v>
      </c>
      <c r="E138" s="6" t="str">
        <f t="shared" si="27"/>
        <v>FEMALE</v>
      </c>
      <c r="F138" s="6" t="str">
        <f t="shared" si="28"/>
        <v>BEVERAGES</v>
      </c>
      <c r="G138" s="6" t="str">
        <f t="shared" si="29"/>
        <v>PEPSI</v>
      </c>
      <c r="H138" s="8">
        <v>4</v>
      </c>
      <c r="I138" s="8">
        <v>663</v>
      </c>
      <c r="J138" s="8">
        <f t="shared" si="30"/>
        <v>2652</v>
      </c>
      <c r="K138" s="6" t="s">
        <v>15</v>
      </c>
      <c r="L138" s="9">
        <v>45836</v>
      </c>
      <c r="M138" s="1" t="str">
        <f t="shared" si="26"/>
        <v>KANO</v>
      </c>
      <c r="Q138" s="1" t="s">
        <v>72</v>
      </c>
      <c r="S138" s="1" t="str">
        <f t="shared" si="31"/>
        <v>Pepsi</v>
      </c>
      <c r="U138" s="1" t="s">
        <v>82</v>
      </c>
      <c r="W138" s="1" t="str">
        <f t="shared" si="32"/>
        <v>Beverages</v>
      </c>
      <c r="Y138" s="16" t="s">
        <v>13</v>
      </c>
      <c r="AA138" s="1" t="s">
        <v>6</v>
      </c>
      <c r="AC138" s="5" t="str">
        <f t="shared" si="33"/>
        <v>MARTIN YOUNG</v>
      </c>
      <c r="AE138" s="1" t="s">
        <v>312</v>
      </c>
    </row>
    <row r="139" spans="2:31" x14ac:dyDescent="0.25">
      <c r="B139" s="6">
        <v>138</v>
      </c>
      <c r="C139" s="3" t="s">
        <v>313</v>
      </c>
      <c r="D139" s="4" t="str">
        <f t="shared" si="25"/>
        <v>JASON MORALES</v>
      </c>
      <c r="E139" s="6" t="str">
        <f t="shared" si="27"/>
        <v>FEMALE</v>
      </c>
      <c r="F139" s="6" t="str">
        <f t="shared" si="28"/>
        <v>BEVERAGES</v>
      </c>
      <c r="G139" s="6" t="str">
        <f t="shared" si="29"/>
        <v>WATER</v>
      </c>
      <c r="H139" s="8">
        <v>6</v>
      </c>
      <c r="I139" s="8">
        <v>321</v>
      </c>
      <c r="J139" s="8">
        <f t="shared" si="30"/>
        <v>1926</v>
      </c>
      <c r="K139" s="6" t="s">
        <v>42</v>
      </c>
      <c r="L139" s="9">
        <v>45812</v>
      </c>
      <c r="M139" s="1" t="str">
        <f t="shared" si="26"/>
        <v>ABUJA</v>
      </c>
      <c r="Q139" s="1" t="s">
        <v>58</v>
      </c>
      <c r="S139" s="1" t="str">
        <f t="shared" si="31"/>
        <v>Water</v>
      </c>
      <c r="U139" s="1" t="s">
        <v>106</v>
      </c>
      <c r="W139" s="1" t="str">
        <f t="shared" si="32"/>
        <v>Beverages</v>
      </c>
      <c r="Y139" s="16" t="s">
        <v>13</v>
      </c>
      <c r="AA139" s="1" t="s">
        <v>6</v>
      </c>
      <c r="AC139" s="5" t="str">
        <f t="shared" si="33"/>
        <v>JASON MORALES</v>
      </c>
      <c r="AE139" s="1" t="s">
        <v>314</v>
      </c>
    </row>
    <row r="140" spans="2:31" x14ac:dyDescent="0.25">
      <c r="B140" s="6">
        <v>139</v>
      </c>
      <c r="C140" s="3" t="s">
        <v>315</v>
      </c>
      <c r="D140" s="4" t="str">
        <f t="shared" si="25"/>
        <v>LAURA LEWIS</v>
      </c>
      <c r="E140" s="6" t="str">
        <f t="shared" si="27"/>
        <v>MALE</v>
      </c>
      <c r="F140" s="6" t="str">
        <f t="shared" si="28"/>
        <v>SNACKS</v>
      </c>
      <c r="G140" s="6" t="str">
        <f t="shared" si="29"/>
        <v>CHIPS</v>
      </c>
      <c r="H140" s="8">
        <v>8</v>
      </c>
      <c r="I140" s="8">
        <v>372</v>
      </c>
      <c r="J140" s="8">
        <f t="shared" si="30"/>
        <v>2976</v>
      </c>
      <c r="K140" s="6" t="s">
        <v>15</v>
      </c>
      <c r="L140" s="9">
        <v>45835</v>
      </c>
      <c r="M140" s="1" t="str">
        <f t="shared" si="26"/>
        <v>ABUJA</v>
      </c>
      <c r="Q140" s="1" t="s">
        <v>58</v>
      </c>
      <c r="S140" s="1" t="str">
        <f t="shared" si="31"/>
        <v>Chips</v>
      </c>
      <c r="U140" s="1" t="s">
        <v>103</v>
      </c>
      <c r="W140" s="1" t="str">
        <f t="shared" si="32"/>
        <v>Snacks</v>
      </c>
      <c r="Y140" s="16" t="s">
        <v>7</v>
      </c>
      <c r="AA140" s="1" t="s">
        <v>213</v>
      </c>
      <c r="AC140" s="5" t="str">
        <f t="shared" si="33"/>
        <v>LAURA LEWIS</v>
      </c>
      <c r="AE140" s="1" t="s">
        <v>316</v>
      </c>
    </row>
    <row r="141" spans="2:31" x14ac:dyDescent="0.25">
      <c r="B141" s="6">
        <v>140</v>
      </c>
      <c r="C141" s="3" t="s">
        <v>317</v>
      </c>
      <c r="D141" s="4" t="str">
        <f t="shared" si="25"/>
        <v>RICHARD THOMPSON</v>
      </c>
      <c r="E141" s="6" t="str">
        <f t="shared" si="27"/>
        <v>MALE</v>
      </c>
      <c r="F141" s="6" t="str">
        <f t="shared" si="28"/>
        <v>HOUSEHOLD</v>
      </c>
      <c r="G141" s="6" t="str">
        <f t="shared" si="29"/>
        <v>AIR FRESHENER</v>
      </c>
      <c r="H141" s="8">
        <v>8</v>
      </c>
      <c r="I141" s="8">
        <v>656</v>
      </c>
      <c r="J141" s="8">
        <f t="shared" si="30"/>
        <v>5248</v>
      </c>
      <c r="K141" s="6" t="s">
        <v>15</v>
      </c>
      <c r="L141" s="9">
        <v>45814</v>
      </c>
      <c r="M141" s="1" t="str">
        <f t="shared" si="26"/>
        <v>PORT HARCOURT</v>
      </c>
      <c r="Q141" s="1" t="s">
        <v>10</v>
      </c>
      <c r="S141" s="1" t="str">
        <f t="shared" si="31"/>
        <v>Air Freshener</v>
      </c>
      <c r="U141" s="1" t="s">
        <v>55</v>
      </c>
      <c r="W141" s="1" t="str">
        <f t="shared" si="32"/>
        <v>Household</v>
      </c>
      <c r="Y141" s="16" t="s">
        <v>24</v>
      </c>
      <c r="AA141" s="1" t="s">
        <v>19</v>
      </c>
      <c r="AC141" s="5" t="str">
        <f t="shared" si="33"/>
        <v>RICHARD THOMPSON</v>
      </c>
      <c r="AE141" s="1" t="s">
        <v>318</v>
      </c>
    </row>
    <row r="142" spans="2:31" x14ac:dyDescent="0.25">
      <c r="B142" s="6">
        <v>141</v>
      </c>
      <c r="C142" s="3" t="s">
        <v>319</v>
      </c>
      <c r="D142" s="4" t="str">
        <f t="shared" si="25"/>
        <v>TYLER PATTERSON</v>
      </c>
      <c r="E142" s="6" t="str">
        <f t="shared" si="27"/>
        <v>MALE</v>
      </c>
      <c r="F142" s="6" t="str">
        <f t="shared" si="28"/>
        <v>SNACKS</v>
      </c>
      <c r="G142" s="6" t="str">
        <f t="shared" si="29"/>
        <v>GRANOLA BAR</v>
      </c>
      <c r="H142" s="8">
        <v>4</v>
      </c>
      <c r="I142" s="8">
        <v>352</v>
      </c>
      <c r="J142" s="8">
        <f t="shared" si="30"/>
        <v>1408</v>
      </c>
      <c r="K142" s="6" t="s">
        <v>20</v>
      </c>
      <c r="L142" s="9">
        <v>45816</v>
      </c>
      <c r="M142" s="1" t="str">
        <f t="shared" si="26"/>
        <v>BENIN CITY</v>
      </c>
      <c r="Q142" s="1" t="s">
        <v>16</v>
      </c>
      <c r="S142" s="1" t="str">
        <f t="shared" si="31"/>
        <v>Granola Bar</v>
      </c>
      <c r="U142" s="1" t="s">
        <v>92</v>
      </c>
      <c r="W142" s="1" t="str">
        <f t="shared" si="32"/>
        <v>Snacks</v>
      </c>
      <c r="Y142" s="16" t="s">
        <v>7</v>
      </c>
      <c r="AA142" s="1" t="s">
        <v>19</v>
      </c>
      <c r="AC142" s="5" t="str">
        <f t="shared" si="33"/>
        <v>TYLER PATTERSON</v>
      </c>
      <c r="AE142" s="1" t="s">
        <v>320</v>
      </c>
    </row>
    <row r="143" spans="2:31" x14ac:dyDescent="0.25">
      <c r="B143" s="6">
        <v>142</v>
      </c>
      <c r="C143" s="3" t="s">
        <v>321</v>
      </c>
      <c r="D143" s="4" t="str">
        <f t="shared" si="25"/>
        <v>MR. CHRISTOPHER WILLIAMS MD</v>
      </c>
      <c r="E143" s="6" t="str">
        <f t="shared" si="27"/>
        <v>MALE</v>
      </c>
      <c r="F143" s="6" t="str">
        <f t="shared" si="28"/>
        <v>SNACKS</v>
      </c>
      <c r="G143" s="6" t="str">
        <f t="shared" si="29"/>
        <v>CHIN CHIN</v>
      </c>
      <c r="H143" s="8">
        <v>8</v>
      </c>
      <c r="I143" s="8">
        <v>678</v>
      </c>
      <c r="J143" s="8">
        <f t="shared" si="30"/>
        <v>5424</v>
      </c>
      <c r="K143" s="6" t="s">
        <v>15</v>
      </c>
      <c r="L143" s="9">
        <v>45835</v>
      </c>
      <c r="M143" s="1" t="str">
        <f t="shared" si="26"/>
        <v>ABUJA</v>
      </c>
      <c r="Q143" s="1" t="s">
        <v>58</v>
      </c>
      <c r="S143" s="1" t="str">
        <f t="shared" si="31"/>
        <v>Chin Chin</v>
      </c>
      <c r="U143" s="1" t="s">
        <v>41</v>
      </c>
      <c r="W143" s="1" t="str">
        <f t="shared" si="32"/>
        <v>Snacks</v>
      </c>
      <c r="Y143" s="16" t="s">
        <v>7</v>
      </c>
      <c r="AA143" s="1" t="s">
        <v>213</v>
      </c>
      <c r="AC143" s="5" t="str">
        <f t="shared" si="33"/>
        <v>MR. CHRISTOPHER WILLIAMS MD</v>
      </c>
      <c r="AE143" s="1" t="s">
        <v>322</v>
      </c>
    </row>
    <row r="144" spans="2:31" x14ac:dyDescent="0.25">
      <c r="B144" s="6">
        <v>143</v>
      </c>
      <c r="C144" s="3" t="s">
        <v>323</v>
      </c>
      <c r="D144" s="4" t="str">
        <f t="shared" si="25"/>
        <v>KEVIN LARSON</v>
      </c>
      <c r="E144" s="6" t="str">
        <f t="shared" si="27"/>
        <v>MALE</v>
      </c>
      <c r="F144" s="6" t="str">
        <f t="shared" si="28"/>
        <v>SNACKS</v>
      </c>
      <c r="G144" s="6" t="str">
        <f t="shared" si="29"/>
        <v>CHIPS</v>
      </c>
      <c r="H144" s="8">
        <v>1</v>
      </c>
      <c r="I144" s="8">
        <v>527</v>
      </c>
      <c r="J144" s="8">
        <f t="shared" si="30"/>
        <v>527</v>
      </c>
      <c r="K144" s="6" t="s">
        <v>20</v>
      </c>
      <c r="L144" s="9">
        <v>45816</v>
      </c>
      <c r="M144" s="1" t="str">
        <f t="shared" si="26"/>
        <v>IBADAN</v>
      </c>
      <c r="Q144" s="1" t="s">
        <v>25</v>
      </c>
      <c r="S144" s="1" t="str">
        <f t="shared" si="31"/>
        <v>chips</v>
      </c>
      <c r="U144" s="1" t="s">
        <v>547</v>
      </c>
      <c r="W144" s="1" t="str">
        <f t="shared" si="32"/>
        <v>Snacks</v>
      </c>
      <c r="Y144" s="16" t="s">
        <v>7</v>
      </c>
      <c r="AA144" s="1" t="s">
        <v>19</v>
      </c>
      <c r="AC144" s="5" t="str">
        <f t="shared" si="33"/>
        <v>KEVIN LARSON</v>
      </c>
      <c r="AE144" s="1" t="s">
        <v>324</v>
      </c>
    </row>
    <row r="145" spans="2:31" x14ac:dyDescent="0.25">
      <c r="B145" s="6">
        <v>144</v>
      </c>
      <c r="C145" s="3" t="s">
        <v>325</v>
      </c>
      <c r="D145" s="4" t="str">
        <f t="shared" si="25"/>
        <v>NATHAN SMITH DDS</v>
      </c>
      <c r="E145" s="6" t="str">
        <f t="shared" si="27"/>
        <v>MALE</v>
      </c>
      <c r="F145" s="6" t="str">
        <f t="shared" si="28"/>
        <v>PERSONAL CARE</v>
      </c>
      <c r="G145" s="6" t="str">
        <f t="shared" si="29"/>
        <v>LOTION</v>
      </c>
      <c r="H145" s="8">
        <v>4</v>
      </c>
      <c r="I145" s="8">
        <v>795</v>
      </c>
      <c r="J145" s="8">
        <f t="shared" si="30"/>
        <v>3180</v>
      </c>
      <c r="K145" s="6" t="s">
        <v>20</v>
      </c>
      <c r="L145" s="9">
        <v>45838</v>
      </c>
      <c r="M145" s="1" t="str">
        <f t="shared" si="26"/>
        <v>PORT HARCOURT</v>
      </c>
      <c r="Q145" s="1" t="s">
        <v>10</v>
      </c>
      <c r="S145" s="1" t="str">
        <f t="shared" si="31"/>
        <v>Lotion</v>
      </c>
      <c r="U145" s="1" t="s">
        <v>49</v>
      </c>
      <c r="W145" s="1" t="str">
        <f t="shared" si="32"/>
        <v>Personal Care</v>
      </c>
      <c r="Y145" s="16" t="s">
        <v>555</v>
      </c>
      <c r="AA145" s="1" t="s">
        <v>19</v>
      </c>
      <c r="AC145" s="5" t="str">
        <f t="shared" si="33"/>
        <v>NATHAN SMITH DDS</v>
      </c>
      <c r="AE145" s="1" t="s">
        <v>326</v>
      </c>
    </row>
    <row r="146" spans="2:31" x14ac:dyDescent="0.25">
      <c r="B146" s="6">
        <v>145</v>
      </c>
      <c r="C146" s="3" t="s">
        <v>327</v>
      </c>
      <c r="D146" s="5" t="s">
        <v>327</v>
      </c>
      <c r="E146" s="6" t="str">
        <f t="shared" si="27"/>
        <v>MALE</v>
      </c>
      <c r="F146" s="6" t="str">
        <f t="shared" si="28"/>
        <v>HOUSEHOLD</v>
      </c>
      <c r="G146" s="6" t="str">
        <f t="shared" si="29"/>
        <v>SOAP</v>
      </c>
      <c r="H146" s="8">
        <v>8</v>
      </c>
      <c r="I146" s="8">
        <v>644</v>
      </c>
      <c r="J146" s="8">
        <f t="shared" si="30"/>
        <v>5152</v>
      </c>
      <c r="K146" s="6" t="s">
        <v>20</v>
      </c>
      <c r="L146" s="9">
        <v>45818</v>
      </c>
      <c r="M146" s="1" t="str">
        <f t="shared" si="26"/>
        <v>LAGOS</v>
      </c>
      <c r="Q146" s="1" t="s">
        <v>29</v>
      </c>
      <c r="S146" s="1" t="str">
        <f t="shared" si="31"/>
        <v>Soap</v>
      </c>
      <c r="U146" s="1" t="s">
        <v>32</v>
      </c>
      <c r="W146" s="1" t="str">
        <f t="shared" si="32"/>
        <v>Household</v>
      </c>
      <c r="Y146" s="16" t="s">
        <v>24</v>
      </c>
      <c r="AA146" s="1" t="s">
        <v>19</v>
      </c>
      <c r="AC146" s="5" t="str">
        <f t="shared" si="33"/>
        <v/>
      </c>
      <c r="AE146" s="1"/>
    </row>
    <row r="147" spans="2:31" x14ac:dyDescent="0.25">
      <c r="B147" s="6">
        <v>146</v>
      </c>
      <c r="C147" s="3" t="s">
        <v>328</v>
      </c>
      <c r="D147" s="4" t="str">
        <f t="shared" ref="D147:D178" si="34">TRIM(AC147)</f>
        <v>DOUGLAS PRICE</v>
      </c>
      <c r="E147" s="6" t="str">
        <f t="shared" si="27"/>
        <v>MALE</v>
      </c>
      <c r="F147" s="6" t="str">
        <f t="shared" si="28"/>
        <v>SNACKS</v>
      </c>
      <c r="G147" s="6" t="str">
        <f t="shared" si="29"/>
        <v>GRANOLA BAR</v>
      </c>
      <c r="H147" s="8">
        <v>3</v>
      </c>
      <c r="I147" s="8">
        <v>863</v>
      </c>
      <c r="J147" s="8">
        <f t="shared" si="30"/>
        <v>2589</v>
      </c>
      <c r="K147" s="6" t="s">
        <v>15</v>
      </c>
      <c r="L147" s="9">
        <v>45833</v>
      </c>
      <c r="M147" s="1" t="str">
        <f t="shared" si="26"/>
        <v>ABUJA</v>
      </c>
      <c r="Q147" s="1" t="s">
        <v>58</v>
      </c>
      <c r="S147" s="1" t="str">
        <f t="shared" si="31"/>
        <v>Granola Bar</v>
      </c>
      <c r="U147" s="1" t="s">
        <v>92</v>
      </c>
      <c r="W147" s="1" t="str">
        <f t="shared" si="32"/>
        <v>Snacks</v>
      </c>
      <c r="Y147" s="16" t="s">
        <v>7</v>
      </c>
      <c r="AA147" s="1" t="s">
        <v>19</v>
      </c>
      <c r="AC147" s="5" t="str">
        <f t="shared" si="33"/>
        <v>DOUGLAS PRICE</v>
      </c>
      <c r="AE147" s="1" t="s">
        <v>329</v>
      </c>
    </row>
    <row r="148" spans="2:31" x14ac:dyDescent="0.25">
      <c r="B148" s="6">
        <v>147</v>
      </c>
      <c r="C148" s="3" t="s">
        <v>330</v>
      </c>
      <c r="D148" s="4" t="str">
        <f t="shared" si="34"/>
        <v>LAURA MOLINA</v>
      </c>
      <c r="E148" s="6" t="str">
        <f t="shared" si="27"/>
        <v>MALE</v>
      </c>
      <c r="F148" s="6" t="str">
        <f t="shared" si="28"/>
        <v>PERSONAL CARE</v>
      </c>
      <c r="G148" s="6" t="str">
        <f t="shared" si="29"/>
        <v>LOTION</v>
      </c>
      <c r="H148" s="8">
        <v>2</v>
      </c>
      <c r="I148" s="8">
        <v>503</v>
      </c>
      <c r="J148" s="8">
        <f t="shared" si="30"/>
        <v>1006</v>
      </c>
      <c r="K148" s="6" t="s">
        <v>15</v>
      </c>
      <c r="L148" s="9">
        <v>45837</v>
      </c>
      <c r="M148" s="1" t="str">
        <f t="shared" si="26"/>
        <v>LAGOS</v>
      </c>
      <c r="Q148" s="1" t="s">
        <v>29</v>
      </c>
      <c r="S148" s="1" t="str">
        <f t="shared" si="31"/>
        <v>Lotion</v>
      </c>
      <c r="U148" s="1" t="s">
        <v>49</v>
      </c>
      <c r="W148" s="1" t="str">
        <f t="shared" si="32"/>
        <v>Personal Care</v>
      </c>
      <c r="Y148" s="16" t="s">
        <v>555</v>
      </c>
      <c r="AA148" s="1" t="s">
        <v>19</v>
      </c>
      <c r="AC148" s="5" t="str">
        <f t="shared" si="33"/>
        <v>LAURA MOLINA</v>
      </c>
      <c r="AE148" s="1" t="s">
        <v>331</v>
      </c>
    </row>
    <row r="149" spans="2:31" x14ac:dyDescent="0.25">
      <c r="B149" s="6">
        <v>148</v>
      </c>
      <c r="C149" s="3" t="s">
        <v>332</v>
      </c>
      <c r="D149" s="4" t="str">
        <f t="shared" si="34"/>
        <v>EDWARD PROCTOR</v>
      </c>
      <c r="E149" s="6" t="str">
        <f t="shared" si="27"/>
        <v>MALE</v>
      </c>
      <c r="F149" s="6" t="str">
        <f t="shared" si="28"/>
        <v>PERSONAL CARE</v>
      </c>
      <c r="G149" s="6" t="str">
        <f t="shared" si="29"/>
        <v>HAND SANITIZER</v>
      </c>
      <c r="H149" s="8">
        <v>1</v>
      </c>
      <c r="I149" s="8">
        <v>326</v>
      </c>
      <c r="J149" s="8">
        <f t="shared" si="30"/>
        <v>326</v>
      </c>
      <c r="K149" s="6" t="s">
        <v>15</v>
      </c>
      <c r="L149" s="9">
        <v>45816</v>
      </c>
      <c r="M149" s="1" t="str">
        <f t="shared" si="26"/>
        <v>ABUJA</v>
      </c>
      <c r="Q149" s="1" t="s">
        <v>58</v>
      </c>
      <c r="S149" s="1" t="str">
        <f t="shared" si="31"/>
        <v>Hand Sanitizer</v>
      </c>
      <c r="U149" s="1" t="s">
        <v>117</v>
      </c>
      <c r="W149" s="1" t="str">
        <f t="shared" si="32"/>
        <v>Personal Care</v>
      </c>
      <c r="Y149" s="16" t="s">
        <v>555</v>
      </c>
      <c r="AA149" s="1" t="s">
        <v>19</v>
      </c>
      <c r="AC149" s="5" t="str">
        <f t="shared" si="33"/>
        <v>EDWARD PROCTOR</v>
      </c>
      <c r="AE149" s="1" t="s">
        <v>333</v>
      </c>
    </row>
    <row r="150" spans="2:31" x14ac:dyDescent="0.25">
      <c r="B150" s="6">
        <v>149</v>
      </c>
      <c r="C150" s="3" t="s">
        <v>334</v>
      </c>
      <c r="D150" s="4" t="str">
        <f t="shared" si="34"/>
        <v>MATTHEW POWERS</v>
      </c>
      <c r="E150" s="6" t="str">
        <f t="shared" si="27"/>
        <v>MALE</v>
      </c>
      <c r="F150" s="6" t="str">
        <f t="shared" si="28"/>
        <v>BEVERAGES</v>
      </c>
      <c r="G150" s="6" t="str">
        <f t="shared" si="29"/>
        <v>WATER</v>
      </c>
      <c r="H150" s="8">
        <v>7</v>
      </c>
      <c r="I150" s="8">
        <v>987</v>
      </c>
      <c r="J150" s="8">
        <f t="shared" si="30"/>
        <v>6909</v>
      </c>
      <c r="K150" s="6" t="s">
        <v>20</v>
      </c>
      <c r="L150" s="9">
        <v>45833</v>
      </c>
      <c r="M150" s="1" t="str">
        <f t="shared" si="26"/>
        <v>KANO</v>
      </c>
      <c r="Q150" s="1" t="s">
        <v>72</v>
      </c>
      <c r="S150" s="1" t="str">
        <f t="shared" si="31"/>
        <v>Water</v>
      </c>
      <c r="U150" s="1" t="s">
        <v>106</v>
      </c>
      <c r="W150" s="1" t="str">
        <f t="shared" si="32"/>
        <v>Beverages</v>
      </c>
      <c r="Y150" s="16" t="s">
        <v>13</v>
      </c>
      <c r="AA150" s="1" t="s">
        <v>19</v>
      </c>
      <c r="AC150" s="5" t="str">
        <f t="shared" si="33"/>
        <v>MATTHEW POWERS</v>
      </c>
      <c r="AE150" s="1" t="s">
        <v>335</v>
      </c>
    </row>
    <row r="151" spans="2:31" x14ac:dyDescent="0.25">
      <c r="B151" s="6">
        <v>150</v>
      </c>
      <c r="C151" s="3" t="s">
        <v>336</v>
      </c>
      <c r="D151" s="4" t="str">
        <f t="shared" si="34"/>
        <v>SHAWN MALDONADO</v>
      </c>
      <c r="E151" s="6" t="str">
        <f t="shared" si="27"/>
        <v>MALE</v>
      </c>
      <c r="F151" s="6" t="str">
        <f t="shared" si="28"/>
        <v>SNACKS</v>
      </c>
      <c r="G151" s="6" t="str">
        <f t="shared" si="29"/>
        <v>CHIPS</v>
      </c>
      <c r="H151" s="8">
        <v>5</v>
      </c>
      <c r="I151" s="8">
        <v>494</v>
      </c>
      <c r="J151" s="8">
        <f t="shared" si="30"/>
        <v>2470</v>
      </c>
      <c r="K151" s="6" t="s">
        <v>42</v>
      </c>
      <c r="L151" s="9">
        <v>45840</v>
      </c>
      <c r="M151" s="1" t="str">
        <f t="shared" si="26"/>
        <v>PORT HARCOURT</v>
      </c>
      <c r="Q151" s="1" t="s">
        <v>10</v>
      </c>
      <c r="S151" s="1" t="str">
        <f t="shared" si="31"/>
        <v>Chips</v>
      </c>
      <c r="U151" s="1" t="s">
        <v>103</v>
      </c>
      <c r="W151" s="1" t="str">
        <f t="shared" si="32"/>
        <v>Snacks</v>
      </c>
      <c r="Y151" s="16" t="s">
        <v>7</v>
      </c>
      <c r="AA151" s="1" t="s">
        <v>19</v>
      </c>
      <c r="AC151" s="5" t="str">
        <f t="shared" si="33"/>
        <v>SHAWN MALDONADO</v>
      </c>
      <c r="AE151" s="1" t="s">
        <v>337</v>
      </c>
    </row>
    <row r="152" spans="2:31" x14ac:dyDescent="0.25">
      <c r="B152" s="6">
        <v>151</v>
      </c>
      <c r="C152" s="3" t="s">
        <v>338</v>
      </c>
      <c r="D152" s="4" t="str">
        <f t="shared" si="34"/>
        <v>ZACHARY HAMILTON</v>
      </c>
      <c r="E152" s="6" t="str">
        <f t="shared" si="27"/>
        <v>FEMALE</v>
      </c>
      <c r="F152" s="6" t="str">
        <f t="shared" si="28"/>
        <v>BEVERAGES</v>
      </c>
      <c r="G152" s="6" t="str">
        <f t="shared" si="29"/>
        <v>PEPSI</v>
      </c>
      <c r="H152" s="8">
        <v>3</v>
      </c>
      <c r="I152" s="8">
        <v>747</v>
      </c>
      <c r="J152" s="8">
        <f t="shared" si="30"/>
        <v>2241</v>
      </c>
      <c r="K152" s="6" t="s">
        <v>15</v>
      </c>
      <c r="L152" s="9">
        <v>45825</v>
      </c>
      <c r="M152" s="1" t="str">
        <f t="shared" si="26"/>
        <v>LAGOS</v>
      </c>
      <c r="Q152" s="1" t="s">
        <v>29</v>
      </c>
      <c r="S152" s="1" t="str">
        <f t="shared" si="31"/>
        <v>Pepsi</v>
      </c>
      <c r="U152" s="1" t="s">
        <v>82</v>
      </c>
      <c r="W152" s="1" t="str">
        <f t="shared" si="32"/>
        <v>Beverages</v>
      </c>
      <c r="Y152" s="16" t="s">
        <v>13</v>
      </c>
      <c r="AA152" s="1" t="s">
        <v>6</v>
      </c>
      <c r="AC152" s="5" t="str">
        <f t="shared" si="33"/>
        <v>ZACHARY HAMILTON</v>
      </c>
      <c r="AE152" s="1" t="s">
        <v>339</v>
      </c>
    </row>
    <row r="153" spans="2:31" x14ac:dyDescent="0.25">
      <c r="B153" s="6">
        <v>152</v>
      </c>
      <c r="C153" s="3" t="s">
        <v>340</v>
      </c>
      <c r="D153" s="4" t="str">
        <f t="shared" si="34"/>
        <v>DREW TANNER</v>
      </c>
      <c r="E153" s="6" t="str">
        <f t="shared" si="27"/>
        <v>MALE</v>
      </c>
      <c r="F153" s="6" t="str">
        <f t="shared" si="28"/>
        <v>BEVERAGES</v>
      </c>
      <c r="G153" s="6" t="str">
        <f t="shared" si="29"/>
        <v>JUICE</v>
      </c>
      <c r="H153" s="8">
        <v>6</v>
      </c>
      <c r="I153" s="8">
        <v>740</v>
      </c>
      <c r="J153" s="8">
        <f t="shared" si="30"/>
        <v>4440</v>
      </c>
      <c r="K153" s="6" t="s">
        <v>42</v>
      </c>
      <c r="L153" s="9">
        <v>45815</v>
      </c>
      <c r="M153" s="1" t="str">
        <f t="shared" si="26"/>
        <v>BENIN CITY</v>
      </c>
      <c r="Q153" s="1" t="s">
        <v>16</v>
      </c>
      <c r="S153" s="1" t="str">
        <f t="shared" si="31"/>
        <v>Juice</v>
      </c>
      <c r="U153" s="1" t="s">
        <v>68</v>
      </c>
      <c r="W153" s="1" t="str">
        <f t="shared" si="32"/>
        <v>Beverages</v>
      </c>
      <c r="Y153" s="16" t="s">
        <v>13</v>
      </c>
      <c r="AA153" s="1" t="s">
        <v>19</v>
      </c>
      <c r="AC153" s="5" t="str">
        <f t="shared" si="33"/>
        <v>DREW TANNER</v>
      </c>
      <c r="AE153" s="1" t="s">
        <v>341</v>
      </c>
    </row>
    <row r="154" spans="2:31" x14ac:dyDescent="0.25">
      <c r="B154" s="6">
        <v>153</v>
      </c>
      <c r="C154" s="3" t="s">
        <v>342</v>
      </c>
      <c r="D154" s="4" t="str">
        <f t="shared" si="34"/>
        <v>DANIELLE GONZALES</v>
      </c>
      <c r="E154" s="6" t="str">
        <f t="shared" si="27"/>
        <v>MALE</v>
      </c>
      <c r="F154" s="6" t="str">
        <f t="shared" si="28"/>
        <v>SNACKS</v>
      </c>
      <c r="G154" s="6" t="str">
        <f t="shared" si="29"/>
        <v>CHIN CHIN</v>
      </c>
      <c r="H154" s="8">
        <v>6</v>
      </c>
      <c r="I154" s="8">
        <v>361</v>
      </c>
      <c r="J154" s="8">
        <f t="shared" si="30"/>
        <v>2166</v>
      </c>
      <c r="K154" s="6" t="s">
        <v>42</v>
      </c>
      <c r="L154" s="9">
        <v>45828</v>
      </c>
      <c r="M154" s="1" t="str">
        <f t="shared" si="26"/>
        <v>BENIN CITY</v>
      </c>
      <c r="Q154" s="1" t="s">
        <v>16</v>
      </c>
      <c r="S154" s="1" t="str">
        <f t="shared" si="31"/>
        <v>Chin Chin</v>
      </c>
      <c r="U154" s="1" t="s">
        <v>41</v>
      </c>
      <c r="W154" s="1" t="str">
        <f t="shared" si="32"/>
        <v>Snacks</v>
      </c>
      <c r="Y154" s="16" t="s">
        <v>7</v>
      </c>
      <c r="AA154" s="1" t="s">
        <v>19</v>
      </c>
      <c r="AC154" s="5" t="str">
        <f t="shared" si="33"/>
        <v>DANIELLE GONZALES</v>
      </c>
      <c r="AE154" s="1" t="s">
        <v>343</v>
      </c>
    </row>
    <row r="155" spans="2:31" x14ac:dyDescent="0.25">
      <c r="B155" s="6">
        <v>154</v>
      </c>
      <c r="C155" s="3" t="s">
        <v>344</v>
      </c>
      <c r="D155" s="4" t="str">
        <f t="shared" si="34"/>
        <v>BRIANNA DAVIS</v>
      </c>
      <c r="E155" s="6" t="str">
        <f t="shared" si="27"/>
        <v>FEMALE</v>
      </c>
      <c r="F155" s="6" t="str">
        <f t="shared" si="28"/>
        <v>SNACKS</v>
      </c>
      <c r="G155" s="6" t="str">
        <f t="shared" si="29"/>
        <v>CHIN CHIN</v>
      </c>
      <c r="H155" s="8">
        <v>10</v>
      </c>
      <c r="I155" s="8">
        <v>128</v>
      </c>
      <c r="J155" s="8">
        <f t="shared" si="30"/>
        <v>1280</v>
      </c>
      <c r="K155" s="6" t="s">
        <v>42</v>
      </c>
      <c r="L155" s="9">
        <v>45819</v>
      </c>
      <c r="M155" s="1" t="str">
        <f t="shared" si="26"/>
        <v>BENIN CITY</v>
      </c>
      <c r="Q155" s="1" t="s">
        <v>16</v>
      </c>
      <c r="S155" s="1" t="str">
        <f t="shared" si="31"/>
        <v>Chin Chin</v>
      </c>
      <c r="U155" s="1" t="s">
        <v>41</v>
      </c>
      <c r="W155" s="1" t="str">
        <f t="shared" si="32"/>
        <v>Snacks</v>
      </c>
      <c r="Y155" s="16" t="s">
        <v>7</v>
      </c>
      <c r="AA155" s="1" t="s">
        <v>6</v>
      </c>
      <c r="AC155" s="5" t="str">
        <f t="shared" si="33"/>
        <v>BRIANNA DAVIS</v>
      </c>
      <c r="AE155" s="1" t="s">
        <v>345</v>
      </c>
    </row>
    <row r="156" spans="2:31" x14ac:dyDescent="0.25">
      <c r="B156" s="6">
        <v>155</v>
      </c>
      <c r="C156" s="3" t="s">
        <v>346</v>
      </c>
      <c r="D156" s="4" t="str">
        <f t="shared" si="34"/>
        <v>TAMMY WHITE</v>
      </c>
      <c r="E156" s="6" t="str">
        <f t="shared" si="27"/>
        <v>FEMALE</v>
      </c>
      <c r="F156" s="6" t="str">
        <f t="shared" si="28"/>
        <v>HOUSEHOLD</v>
      </c>
      <c r="G156" s="6" t="str">
        <f t="shared" si="29"/>
        <v>TOILET PAPER</v>
      </c>
      <c r="H156" s="8">
        <v>9</v>
      </c>
      <c r="I156" s="8">
        <v>818</v>
      </c>
      <c r="J156" s="8">
        <f t="shared" si="30"/>
        <v>7362</v>
      </c>
      <c r="K156" s="6" t="s">
        <v>20</v>
      </c>
      <c r="L156" s="9">
        <v>45833</v>
      </c>
      <c r="M156" s="1" t="s">
        <v>533</v>
      </c>
      <c r="Q156" s="1"/>
      <c r="S156" s="1" t="str">
        <f t="shared" si="31"/>
        <v>Toilet Paper</v>
      </c>
      <c r="U156" s="1" t="s">
        <v>28</v>
      </c>
      <c r="W156" s="1" t="str">
        <f t="shared" si="32"/>
        <v>Household</v>
      </c>
      <c r="Y156" s="16" t="s">
        <v>24</v>
      </c>
      <c r="AA156" s="1" t="s">
        <v>6</v>
      </c>
      <c r="AC156" s="5" t="str">
        <f t="shared" si="33"/>
        <v>TAMMY WHITE</v>
      </c>
      <c r="AE156" s="1" t="s">
        <v>347</v>
      </c>
    </row>
    <row r="157" spans="2:31" x14ac:dyDescent="0.25">
      <c r="B157" s="6">
        <v>156</v>
      </c>
      <c r="C157" s="3" t="s">
        <v>348</v>
      </c>
      <c r="D157" s="4" t="str">
        <f t="shared" si="34"/>
        <v>NICOLE LARSON</v>
      </c>
      <c r="E157" s="6" t="str">
        <f t="shared" si="27"/>
        <v>FEMALE</v>
      </c>
      <c r="F157" s="6" t="str">
        <f t="shared" si="28"/>
        <v>HOUSEHOLD</v>
      </c>
      <c r="G157" s="6" t="str">
        <f t="shared" si="29"/>
        <v>AIR FRESHENER</v>
      </c>
      <c r="H157" s="8">
        <v>8</v>
      </c>
      <c r="I157" s="8">
        <v>196</v>
      </c>
      <c r="J157" s="8">
        <f t="shared" si="30"/>
        <v>1568</v>
      </c>
      <c r="K157" s="6" t="s">
        <v>20</v>
      </c>
      <c r="L157" s="9">
        <v>45826</v>
      </c>
      <c r="M157" s="1" t="str">
        <f t="shared" ref="M157:M168" si="35">UPPER(Q157)</f>
        <v>IBADAN</v>
      </c>
      <c r="Q157" s="1" t="s">
        <v>25</v>
      </c>
      <c r="S157" s="1" t="str">
        <f t="shared" si="31"/>
        <v>Air Freshener</v>
      </c>
      <c r="U157" s="1" t="s">
        <v>55</v>
      </c>
      <c r="W157" s="1" t="str">
        <f t="shared" si="32"/>
        <v>Household</v>
      </c>
      <c r="Y157" s="16" t="s">
        <v>24</v>
      </c>
      <c r="AA157" s="1" t="s">
        <v>6</v>
      </c>
      <c r="AC157" s="5" t="str">
        <f t="shared" si="33"/>
        <v>NICOLE LARSON</v>
      </c>
      <c r="AE157" s="1" t="s">
        <v>349</v>
      </c>
    </row>
    <row r="158" spans="2:31" x14ac:dyDescent="0.25">
      <c r="B158" s="6">
        <v>157</v>
      </c>
      <c r="C158" s="3" t="s">
        <v>350</v>
      </c>
      <c r="D158" s="4" t="str">
        <f t="shared" si="34"/>
        <v>ARTHUR MORRIS</v>
      </c>
      <c r="E158" s="6" t="str">
        <f t="shared" si="27"/>
        <v>MALE</v>
      </c>
      <c r="F158" s="6" t="str">
        <f t="shared" si="28"/>
        <v>PERSONAL CARE</v>
      </c>
      <c r="G158" s="6" t="str">
        <f t="shared" si="29"/>
        <v>DEODORANT</v>
      </c>
      <c r="H158" s="8">
        <v>7</v>
      </c>
      <c r="I158" s="8">
        <v>864</v>
      </c>
      <c r="J158" s="8">
        <f t="shared" si="30"/>
        <v>6048</v>
      </c>
      <c r="K158" s="6" t="s">
        <v>20</v>
      </c>
      <c r="L158" s="9">
        <v>45826</v>
      </c>
      <c r="M158" s="1" t="str">
        <f t="shared" si="35"/>
        <v>KANO</v>
      </c>
      <c r="Q158" s="1" t="s">
        <v>72</v>
      </c>
      <c r="S158" s="1" t="str">
        <f t="shared" si="31"/>
        <v>Deodorant</v>
      </c>
      <c r="U158" s="1" t="s">
        <v>159</v>
      </c>
      <c r="W158" s="1" t="str">
        <f t="shared" si="32"/>
        <v>Personal Care</v>
      </c>
      <c r="Y158" s="16" t="s">
        <v>555</v>
      </c>
      <c r="AA158" s="1" t="s">
        <v>19</v>
      </c>
      <c r="AC158" s="5" t="str">
        <f t="shared" si="33"/>
        <v>ARTHUR MORRIS</v>
      </c>
      <c r="AE158" s="1" t="s">
        <v>351</v>
      </c>
    </row>
    <row r="159" spans="2:31" x14ac:dyDescent="0.25">
      <c r="B159" s="6">
        <v>158</v>
      </c>
      <c r="C159" s="3" t="s">
        <v>352</v>
      </c>
      <c r="D159" s="4" t="str">
        <f t="shared" si="34"/>
        <v>LINDSAY MASON</v>
      </c>
      <c r="E159" s="6" t="str">
        <f t="shared" si="27"/>
        <v>FEMALE</v>
      </c>
      <c r="F159" s="6" t="str">
        <f t="shared" si="28"/>
        <v>SNACKS</v>
      </c>
      <c r="G159" s="6" t="str">
        <f t="shared" si="29"/>
        <v>BISCUITS</v>
      </c>
      <c r="H159" s="8">
        <v>7</v>
      </c>
      <c r="I159" s="8">
        <v>599</v>
      </c>
      <c r="J159" s="8">
        <f t="shared" si="30"/>
        <v>4193</v>
      </c>
      <c r="K159" s="6" t="s">
        <v>42</v>
      </c>
      <c r="L159" s="9">
        <v>45830</v>
      </c>
      <c r="M159" s="1" t="str">
        <f t="shared" si="35"/>
        <v>BENIN CITY</v>
      </c>
      <c r="Q159" s="1" t="s">
        <v>16</v>
      </c>
      <c r="S159" s="1" t="str">
        <f t="shared" si="31"/>
        <v>Biscuits</v>
      </c>
      <c r="U159" s="1" t="s">
        <v>8</v>
      </c>
      <c r="W159" s="1" t="str">
        <f t="shared" si="32"/>
        <v>Snacks</v>
      </c>
      <c r="Y159" s="16" t="s">
        <v>7</v>
      </c>
      <c r="AA159" s="1" t="s">
        <v>6</v>
      </c>
      <c r="AC159" s="5" t="str">
        <f t="shared" si="33"/>
        <v>LINDSAY MASON</v>
      </c>
      <c r="AE159" s="1" t="s">
        <v>353</v>
      </c>
    </row>
    <row r="160" spans="2:31" x14ac:dyDescent="0.25">
      <c r="B160" s="6">
        <v>159</v>
      </c>
      <c r="C160" s="3" t="s">
        <v>354</v>
      </c>
      <c r="D160" s="4" t="str">
        <f t="shared" si="34"/>
        <v>STEPHEN WILLIAMS</v>
      </c>
      <c r="E160" s="6" t="str">
        <f t="shared" si="27"/>
        <v>MALE</v>
      </c>
      <c r="F160" s="6" t="str">
        <f t="shared" si="28"/>
        <v>PERSONAL CARE</v>
      </c>
      <c r="G160" s="6" t="str">
        <f t="shared" si="29"/>
        <v>SHAMPOO</v>
      </c>
      <c r="H160" s="8">
        <v>2</v>
      </c>
      <c r="I160" s="8">
        <v>271</v>
      </c>
      <c r="J160" s="8">
        <f t="shared" si="30"/>
        <v>542</v>
      </c>
      <c r="K160" s="6" t="s">
        <v>15</v>
      </c>
      <c r="L160" s="9">
        <v>45833</v>
      </c>
      <c r="M160" s="1" t="str">
        <f t="shared" si="35"/>
        <v>LAGOS</v>
      </c>
      <c r="Q160" s="1" t="s">
        <v>29</v>
      </c>
      <c r="S160" s="1" t="str">
        <f t="shared" si="31"/>
        <v>Shampoo</v>
      </c>
      <c r="U160" s="1" t="s">
        <v>38</v>
      </c>
      <c r="W160" s="1" t="str">
        <f t="shared" si="32"/>
        <v>Personal Care</v>
      </c>
      <c r="Y160" s="16" t="s">
        <v>555</v>
      </c>
      <c r="AA160" s="1" t="s">
        <v>19</v>
      </c>
      <c r="AC160" s="5" t="str">
        <f t="shared" si="33"/>
        <v>STEPHEN WILLIAMS</v>
      </c>
      <c r="AE160" s="1" t="s">
        <v>355</v>
      </c>
    </row>
    <row r="161" spans="2:31" x14ac:dyDescent="0.25">
      <c r="B161" s="6">
        <v>160</v>
      </c>
      <c r="C161" s="3" t="s">
        <v>356</v>
      </c>
      <c r="D161" s="4" t="str">
        <f t="shared" si="34"/>
        <v>GARY DILLON</v>
      </c>
      <c r="E161" s="6" t="str">
        <f t="shared" si="27"/>
        <v>FEMALE</v>
      </c>
      <c r="F161" s="6" t="str">
        <f t="shared" si="28"/>
        <v>HOUSEHOLD</v>
      </c>
      <c r="G161" s="6" t="str">
        <f t="shared" si="29"/>
        <v>SOAP</v>
      </c>
      <c r="H161" s="8">
        <v>4</v>
      </c>
      <c r="I161" s="8">
        <v>881</v>
      </c>
      <c r="J161" s="8">
        <f t="shared" si="30"/>
        <v>3524</v>
      </c>
      <c r="K161" s="6" t="s">
        <v>42</v>
      </c>
      <c r="L161" s="9">
        <v>45839</v>
      </c>
      <c r="M161" s="1" t="str">
        <f t="shared" si="35"/>
        <v>BENIN CITY</v>
      </c>
      <c r="Q161" s="1" t="s">
        <v>16</v>
      </c>
      <c r="S161" s="1" t="str">
        <f t="shared" si="31"/>
        <v>Soap</v>
      </c>
      <c r="U161" s="1" t="s">
        <v>32</v>
      </c>
      <c r="W161" s="1" t="str">
        <f t="shared" si="32"/>
        <v>Household</v>
      </c>
      <c r="Y161" s="16" t="s">
        <v>24</v>
      </c>
      <c r="AA161" s="1" t="s">
        <v>6</v>
      </c>
      <c r="AC161" s="5" t="str">
        <f t="shared" si="33"/>
        <v>GARY DILLON</v>
      </c>
      <c r="AE161" s="1" t="s">
        <v>357</v>
      </c>
    </row>
    <row r="162" spans="2:31" x14ac:dyDescent="0.25">
      <c r="B162" s="6">
        <v>161</v>
      </c>
      <c r="C162" s="3" t="s">
        <v>358</v>
      </c>
      <c r="D162" s="4" t="str">
        <f t="shared" si="34"/>
        <v>JOSEPH CONTRERAS</v>
      </c>
      <c r="E162" s="6" t="str">
        <f t="shared" si="27"/>
        <v>MALE</v>
      </c>
      <c r="F162" s="6" t="str">
        <f t="shared" si="28"/>
        <v>SNACKS</v>
      </c>
      <c r="G162" s="6" t="str">
        <f t="shared" si="29"/>
        <v>CHIPS</v>
      </c>
      <c r="H162" s="8">
        <v>6</v>
      </c>
      <c r="I162" s="8">
        <v>886</v>
      </c>
      <c r="J162" s="8">
        <f t="shared" si="30"/>
        <v>5316</v>
      </c>
      <c r="K162" s="6" t="s">
        <v>9</v>
      </c>
      <c r="L162" s="9">
        <v>45834</v>
      </c>
      <c r="M162" s="1" t="str">
        <f t="shared" si="35"/>
        <v>KANO</v>
      </c>
      <c r="Q162" s="1" t="s">
        <v>72</v>
      </c>
      <c r="S162" s="1" t="str">
        <f t="shared" ref="S162:S186" si="36">TRIM(U162)</f>
        <v>Chips</v>
      </c>
      <c r="U162" s="1" t="s">
        <v>103</v>
      </c>
      <c r="W162" s="1" t="str">
        <f t="shared" si="32"/>
        <v>Snacks</v>
      </c>
      <c r="Y162" s="16" t="s">
        <v>7</v>
      </c>
      <c r="AA162" s="1" t="s">
        <v>19</v>
      </c>
      <c r="AC162" s="5" t="str">
        <f t="shared" si="33"/>
        <v>JOSEPH CONTRERAS</v>
      </c>
      <c r="AE162" s="1" t="s">
        <v>359</v>
      </c>
    </row>
    <row r="163" spans="2:31" x14ac:dyDescent="0.25">
      <c r="B163" s="6">
        <v>162</v>
      </c>
      <c r="C163" s="3" t="s">
        <v>360</v>
      </c>
      <c r="D163" s="4" t="str">
        <f t="shared" si="34"/>
        <v>BENJAMIN VARGAS</v>
      </c>
      <c r="E163" s="6" t="str">
        <f t="shared" si="27"/>
        <v>MALE</v>
      </c>
      <c r="F163" s="6" t="str">
        <f t="shared" si="28"/>
        <v>HOUSEHOLD</v>
      </c>
      <c r="G163" s="6" t="str">
        <f t="shared" si="29"/>
        <v>SOAP</v>
      </c>
      <c r="H163" s="8">
        <v>8</v>
      </c>
      <c r="I163" s="8">
        <v>363</v>
      </c>
      <c r="J163" s="8">
        <f t="shared" si="30"/>
        <v>2904</v>
      </c>
      <c r="K163" s="6" t="s">
        <v>42</v>
      </c>
      <c r="L163" s="9">
        <v>45814</v>
      </c>
      <c r="M163" s="1" t="str">
        <f t="shared" si="35"/>
        <v>BENIN CITY</v>
      </c>
      <c r="Q163" s="1" t="s">
        <v>16</v>
      </c>
      <c r="S163" s="1" t="str">
        <f t="shared" si="36"/>
        <v>Soap</v>
      </c>
      <c r="U163" s="1" t="s">
        <v>32</v>
      </c>
      <c r="W163" s="1" t="str">
        <f t="shared" si="32"/>
        <v>Household</v>
      </c>
      <c r="Y163" s="16" t="s">
        <v>24</v>
      </c>
      <c r="AA163" s="1" t="s">
        <v>19</v>
      </c>
      <c r="AC163" s="5" t="str">
        <f t="shared" si="33"/>
        <v>BENJAMIN VARGAS</v>
      </c>
      <c r="AE163" s="1" t="s">
        <v>361</v>
      </c>
    </row>
    <row r="164" spans="2:31" x14ac:dyDescent="0.25">
      <c r="B164" s="6">
        <v>163</v>
      </c>
      <c r="C164" s="3" t="s">
        <v>362</v>
      </c>
      <c r="D164" s="4" t="str">
        <f t="shared" si="34"/>
        <v>KIMBERLY VASQUEZ</v>
      </c>
      <c r="E164" s="6" t="str">
        <f t="shared" si="27"/>
        <v>FEMALE</v>
      </c>
      <c r="F164" s="6" t="str">
        <f t="shared" si="28"/>
        <v>BEVERAGES</v>
      </c>
      <c r="G164" s="6" t="str">
        <f t="shared" si="29"/>
        <v>PEPSI</v>
      </c>
      <c r="H164" s="8">
        <v>7</v>
      </c>
      <c r="I164" s="8">
        <v>367</v>
      </c>
      <c r="J164" s="8">
        <f t="shared" si="30"/>
        <v>2569</v>
      </c>
      <c r="K164" s="6" t="s">
        <v>15</v>
      </c>
      <c r="L164" s="9">
        <v>45814</v>
      </c>
      <c r="M164" s="1" t="str">
        <f t="shared" si="35"/>
        <v>IBADAN</v>
      </c>
      <c r="Q164" s="1" t="s">
        <v>364</v>
      </c>
      <c r="S164" s="1" t="str">
        <f t="shared" si="36"/>
        <v>Pepsi</v>
      </c>
      <c r="U164" s="1" t="s">
        <v>82</v>
      </c>
      <c r="W164" s="1" t="str">
        <f t="shared" si="32"/>
        <v>Beverages</v>
      </c>
      <c r="Y164" s="16" t="s">
        <v>13</v>
      </c>
      <c r="AA164" s="1" t="s">
        <v>6</v>
      </c>
      <c r="AC164" s="5" t="str">
        <f t="shared" si="33"/>
        <v>KIMBERLY VASQUEZ</v>
      </c>
      <c r="AE164" s="1" t="s">
        <v>363</v>
      </c>
    </row>
    <row r="165" spans="2:31" x14ac:dyDescent="0.25">
      <c r="B165" s="6">
        <v>164</v>
      </c>
      <c r="C165" s="3" t="s">
        <v>365</v>
      </c>
      <c r="D165" s="4" t="str">
        <f t="shared" si="34"/>
        <v>NINA SHAW</v>
      </c>
      <c r="E165" s="6" t="str">
        <f t="shared" si="27"/>
        <v>MALE</v>
      </c>
      <c r="F165" s="6" t="str">
        <f t="shared" si="28"/>
        <v>HOUSEHOLD</v>
      </c>
      <c r="G165" s="6" t="str">
        <f t="shared" si="29"/>
        <v>SOAP</v>
      </c>
      <c r="H165" s="8">
        <v>10</v>
      </c>
      <c r="I165" s="8">
        <v>463</v>
      </c>
      <c r="J165" s="8">
        <f t="shared" si="30"/>
        <v>4630</v>
      </c>
      <c r="K165" s="6" t="s">
        <v>15</v>
      </c>
      <c r="L165" s="9">
        <v>45837</v>
      </c>
      <c r="M165" s="1" t="str">
        <f t="shared" si="35"/>
        <v>IBADAN</v>
      </c>
      <c r="Q165" s="1" t="s">
        <v>25</v>
      </c>
      <c r="S165" s="1" t="str">
        <f t="shared" si="36"/>
        <v>Soap</v>
      </c>
      <c r="U165" s="1" t="s">
        <v>32</v>
      </c>
      <c r="W165" s="1" t="str">
        <f t="shared" si="32"/>
        <v>Household</v>
      </c>
      <c r="Y165" s="16" t="s">
        <v>24</v>
      </c>
      <c r="AA165" s="1" t="s">
        <v>19</v>
      </c>
      <c r="AC165" s="5" t="str">
        <f t="shared" si="33"/>
        <v>NINA SHAW</v>
      </c>
      <c r="AE165" s="1" t="s">
        <v>366</v>
      </c>
    </row>
    <row r="166" spans="2:31" x14ac:dyDescent="0.25">
      <c r="B166" s="6">
        <v>165</v>
      </c>
      <c r="C166" s="3" t="s">
        <v>367</v>
      </c>
      <c r="D166" s="4" t="str">
        <f t="shared" si="34"/>
        <v>JUAN HARVEY</v>
      </c>
      <c r="E166" s="6" t="str">
        <f t="shared" si="27"/>
        <v>FEMALE</v>
      </c>
      <c r="F166" s="6" t="str">
        <f t="shared" si="28"/>
        <v>BEVERAGES</v>
      </c>
      <c r="G166" s="6" t="str">
        <f t="shared" si="29"/>
        <v>JUICE</v>
      </c>
      <c r="H166" s="8">
        <v>6</v>
      </c>
      <c r="I166" s="8">
        <v>564</v>
      </c>
      <c r="J166" s="8">
        <f t="shared" si="30"/>
        <v>3384</v>
      </c>
      <c r="K166" s="6" t="s">
        <v>20</v>
      </c>
      <c r="L166" s="9">
        <v>45840</v>
      </c>
      <c r="M166" s="1" t="str">
        <f t="shared" si="35"/>
        <v>ABUJA</v>
      </c>
      <c r="Q166" s="1" t="s">
        <v>58</v>
      </c>
      <c r="S166" s="1" t="str">
        <f t="shared" si="36"/>
        <v>Juice</v>
      </c>
      <c r="U166" s="1" t="s">
        <v>68</v>
      </c>
      <c r="W166" s="1" t="str">
        <f t="shared" si="32"/>
        <v>Beverages</v>
      </c>
      <c r="Y166" s="16" t="s">
        <v>13</v>
      </c>
      <c r="AA166" s="1" t="s">
        <v>6</v>
      </c>
      <c r="AC166" s="5" t="str">
        <f t="shared" si="33"/>
        <v>JUAN HARVEY</v>
      </c>
      <c r="AE166" s="1" t="s">
        <v>368</v>
      </c>
    </row>
    <row r="167" spans="2:31" x14ac:dyDescent="0.25">
      <c r="B167" s="6">
        <v>166</v>
      </c>
      <c r="C167" s="3" t="s">
        <v>369</v>
      </c>
      <c r="D167" s="4" t="str">
        <f t="shared" si="34"/>
        <v>RAYMOND GRAY</v>
      </c>
      <c r="E167" s="6" t="str">
        <f t="shared" si="27"/>
        <v>MALE</v>
      </c>
      <c r="F167" s="6" t="str">
        <f t="shared" si="28"/>
        <v>SNACKS</v>
      </c>
      <c r="G167" s="6" t="str">
        <f t="shared" si="29"/>
        <v>CHIPS</v>
      </c>
      <c r="H167" s="8">
        <v>1</v>
      </c>
      <c r="I167" s="8">
        <v>658</v>
      </c>
      <c r="J167" s="8">
        <f t="shared" si="30"/>
        <v>658</v>
      </c>
      <c r="K167" s="6" t="s">
        <v>20</v>
      </c>
      <c r="L167" s="9">
        <v>45838</v>
      </c>
      <c r="M167" s="1" t="str">
        <f t="shared" si="35"/>
        <v>KANO</v>
      </c>
      <c r="Q167" s="1" t="s">
        <v>72</v>
      </c>
      <c r="S167" s="1" t="str">
        <f t="shared" si="36"/>
        <v>Chips</v>
      </c>
      <c r="U167" s="1" t="s">
        <v>103</v>
      </c>
      <c r="W167" s="1" t="str">
        <f t="shared" si="32"/>
        <v>Snacks</v>
      </c>
      <c r="Y167" s="16" t="s">
        <v>7</v>
      </c>
      <c r="AA167" s="1" t="s">
        <v>19</v>
      </c>
      <c r="AC167" s="5" t="str">
        <f t="shared" si="33"/>
        <v>RAYMOND GRAY</v>
      </c>
      <c r="AE167" s="1" t="s">
        <v>370</v>
      </c>
    </row>
    <row r="168" spans="2:31" x14ac:dyDescent="0.25">
      <c r="B168" s="6">
        <v>167</v>
      </c>
      <c r="C168" s="3" t="s">
        <v>371</v>
      </c>
      <c r="D168" s="4" t="str">
        <f t="shared" si="34"/>
        <v>MATTHEW DAVIS</v>
      </c>
      <c r="E168" s="6" t="str">
        <f t="shared" si="27"/>
        <v>FEMALE</v>
      </c>
      <c r="F168" s="6" t="str">
        <f t="shared" si="28"/>
        <v>SNACKS</v>
      </c>
      <c r="G168" s="6" t="str">
        <f t="shared" si="29"/>
        <v>BISCUITS</v>
      </c>
      <c r="H168" s="8">
        <v>8</v>
      </c>
      <c r="I168" s="8">
        <v>861</v>
      </c>
      <c r="J168" s="8">
        <f t="shared" si="30"/>
        <v>6888</v>
      </c>
      <c r="K168" s="6" t="s">
        <v>9</v>
      </c>
      <c r="L168" s="9">
        <v>45829</v>
      </c>
      <c r="M168" s="1" t="str">
        <f t="shared" si="35"/>
        <v>IBADAN</v>
      </c>
      <c r="Q168" s="1" t="s">
        <v>25</v>
      </c>
      <c r="S168" s="1" t="str">
        <f t="shared" si="36"/>
        <v>Biscuits</v>
      </c>
      <c r="U168" s="1" t="s">
        <v>8</v>
      </c>
      <c r="W168" s="1" t="str">
        <f t="shared" si="32"/>
        <v>Snacks</v>
      </c>
      <c r="Y168" s="16" t="s">
        <v>7</v>
      </c>
      <c r="AA168" s="1" t="s">
        <v>6</v>
      </c>
      <c r="AC168" s="5" t="str">
        <f t="shared" si="33"/>
        <v>MATTHEW DAVIS</v>
      </c>
      <c r="AE168" s="1" t="s">
        <v>372</v>
      </c>
    </row>
    <row r="169" spans="2:31" x14ac:dyDescent="0.25">
      <c r="B169" s="6">
        <v>168</v>
      </c>
      <c r="C169" s="3" t="s">
        <v>373</v>
      </c>
      <c r="D169" s="4" t="str">
        <f t="shared" si="34"/>
        <v>MICHELLE LONG</v>
      </c>
      <c r="E169" s="6" t="str">
        <f t="shared" si="27"/>
        <v>FEMALE</v>
      </c>
      <c r="F169" s="6" t="str">
        <f t="shared" si="28"/>
        <v>SNACKS</v>
      </c>
      <c r="G169" s="6" t="str">
        <f t="shared" si="29"/>
        <v>BISCUITS</v>
      </c>
      <c r="H169" s="8">
        <v>3</v>
      </c>
      <c r="I169" s="8">
        <v>376</v>
      </c>
      <c r="J169" s="8">
        <f t="shared" si="30"/>
        <v>1128</v>
      </c>
      <c r="K169" s="6" t="s">
        <v>9</v>
      </c>
      <c r="L169" s="9">
        <v>45826</v>
      </c>
      <c r="M169" s="7" t="s">
        <v>533</v>
      </c>
      <c r="Q169" s="1" t="s">
        <v>280</v>
      </c>
      <c r="S169" s="1" t="str">
        <f t="shared" si="36"/>
        <v>Biscuits</v>
      </c>
      <c r="U169" s="1" t="s">
        <v>8</v>
      </c>
      <c r="W169" s="1" t="str">
        <f t="shared" si="32"/>
        <v>Snacks</v>
      </c>
      <c r="Y169" s="16" t="s">
        <v>7</v>
      </c>
      <c r="AA169" s="1" t="s">
        <v>6</v>
      </c>
      <c r="AC169" s="5" t="str">
        <f t="shared" si="33"/>
        <v>MICHELLE LONG</v>
      </c>
      <c r="AE169" s="1" t="s">
        <v>374</v>
      </c>
    </row>
    <row r="170" spans="2:31" x14ac:dyDescent="0.25">
      <c r="B170" s="6">
        <v>169</v>
      </c>
      <c r="C170" s="3" t="s">
        <v>375</v>
      </c>
      <c r="D170" s="4" t="str">
        <f t="shared" si="34"/>
        <v>HAROLD VARGAS</v>
      </c>
      <c r="E170" s="6" t="str">
        <f t="shared" si="27"/>
        <v>MALE</v>
      </c>
      <c r="F170" s="6" t="str">
        <f t="shared" si="28"/>
        <v>SNACKS</v>
      </c>
      <c r="G170" s="6" t="str">
        <f t="shared" si="29"/>
        <v>GRANOLA BAR</v>
      </c>
      <c r="H170" s="8">
        <v>10</v>
      </c>
      <c r="I170" s="8">
        <v>440</v>
      </c>
      <c r="J170" s="8">
        <f t="shared" si="30"/>
        <v>4400</v>
      </c>
      <c r="K170" s="6" t="s">
        <v>15</v>
      </c>
      <c r="L170" s="9">
        <v>45828</v>
      </c>
      <c r="M170" s="1" t="s">
        <v>534</v>
      </c>
      <c r="Q170" s="1" t="s">
        <v>280</v>
      </c>
      <c r="S170" s="1" t="str">
        <f t="shared" si="36"/>
        <v>Granola Bar</v>
      </c>
      <c r="U170" s="1" t="s">
        <v>92</v>
      </c>
      <c r="W170" s="1" t="str">
        <f t="shared" si="32"/>
        <v>Snacks</v>
      </c>
      <c r="Y170" s="16" t="s">
        <v>7</v>
      </c>
      <c r="AA170" s="1" t="s">
        <v>19</v>
      </c>
      <c r="AC170" s="5" t="str">
        <f t="shared" si="33"/>
        <v>HAROLD VARGAS</v>
      </c>
      <c r="AE170" s="1" t="s">
        <v>376</v>
      </c>
    </row>
    <row r="171" spans="2:31" x14ac:dyDescent="0.25">
      <c r="B171" s="6">
        <v>170</v>
      </c>
      <c r="C171" s="3" t="s">
        <v>377</v>
      </c>
      <c r="D171" s="4" t="str">
        <f t="shared" si="34"/>
        <v>JOHNNY GARCIA</v>
      </c>
      <c r="E171" s="6" t="str">
        <f t="shared" si="27"/>
        <v>FEMALE</v>
      </c>
      <c r="F171" s="6" t="str">
        <f t="shared" si="28"/>
        <v>HOUSEHOLD</v>
      </c>
      <c r="G171" s="6" t="str">
        <f t="shared" si="29"/>
        <v>AIR FRESHENER</v>
      </c>
      <c r="H171" s="8">
        <v>8</v>
      </c>
      <c r="I171" s="8">
        <v>260</v>
      </c>
      <c r="J171" s="8">
        <f t="shared" si="30"/>
        <v>2080</v>
      </c>
      <c r="K171" s="6" t="s">
        <v>42</v>
      </c>
      <c r="L171" s="9">
        <v>45823</v>
      </c>
      <c r="M171" s="1" t="str">
        <f>UPPER(Q171)</f>
        <v>ABUJA</v>
      </c>
      <c r="Q171" s="1" t="s">
        <v>58</v>
      </c>
      <c r="S171" s="1" t="str">
        <f t="shared" si="36"/>
        <v>Air Freshener</v>
      </c>
      <c r="U171" s="1" t="s">
        <v>55</v>
      </c>
      <c r="W171" s="1" t="str">
        <f t="shared" si="32"/>
        <v>Household</v>
      </c>
      <c r="Y171" s="16" t="s">
        <v>24</v>
      </c>
      <c r="AA171" s="1" t="s">
        <v>6</v>
      </c>
      <c r="AC171" s="5" t="str">
        <f t="shared" si="33"/>
        <v>JOHNNY GARCIA</v>
      </c>
      <c r="AE171" s="1" t="s">
        <v>378</v>
      </c>
    </row>
    <row r="172" spans="2:31" x14ac:dyDescent="0.25">
      <c r="B172" s="6">
        <v>171</v>
      </c>
      <c r="C172" s="3" t="s">
        <v>379</v>
      </c>
      <c r="D172" s="4" t="str">
        <f t="shared" si="34"/>
        <v>SAMANTHA MOORE</v>
      </c>
      <c r="E172" s="6" t="str">
        <f t="shared" si="27"/>
        <v>FEMALE</v>
      </c>
      <c r="F172" s="6" t="str">
        <f t="shared" si="28"/>
        <v>BEVERAGES</v>
      </c>
      <c r="G172" s="6" t="str">
        <f t="shared" si="29"/>
        <v>JUICE</v>
      </c>
      <c r="H172" s="8">
        <v>9</v>
      </c>
      <c r="I172" s="8">
        <v>220</v>
      </c>
      <c r="J172" s="8">
        <f t="shared" si="30"/>
        <v>1980</v>
      </c>
      <c r="K172" s="6" t="s">
        <v>9</v>
      </c>
      <c r="L172" s="9">
        <v>45839</v>
      </c>
      <c r="M172" s="1" t="s">
        <v>553</v>
      </c>
      <c r="Q172" s="1" t="s">
        <v>10</v>
      </c>
      <c r="S172" s="1" t="str">
        <f t="shared" si="36"/>
        <v>Juice</v>
      </c>
      <c r="U172" s="1" t="s">
        <v>68</v>
      </c>
      <c r="W172" s="1" t="str">
        <f t="shared" si="32"/>
        <v>Beverages</v>
      </c>
      <c r="Y172" s="16" t="s">
        <v>13</v>
      </c>
      <c r="AA172" s="1" t="s">
        <v>6</v>
      </c>
      <c r="AC172" s="5" t="str">
        <f t="shared" si="33"/>
        <v>SAMANTHA MOORE</v>
      </c>
      <c r="AE172" s="1" t="s">
        <v>380</v>
      </c>
    </row>
    <row r="173" spans="2:31" x14ac:dyDescent="0.25">
      <c r="B173" s="6">
        <v>172</v>
      </c>
      <c r="C173" s="3" t="s">
        <v>381</v>
      </c>
      <c r="D173" s="4" t="str">
        <f t="shared" si="34"/>
        <v>ERIC WILLIS</v>
      </c>
      <c r="E173" s="6" t="str">
        <f t="shared" si="27"/>
        <v>FEMALE</v>
      </c>
      <c r="F173" s="6" t="str">
        <f t="shared" si="28"/>
        <v>HOUSEHOLD</v>
      </c>
      <c r="G173" s="6" t="str">
        <f t="shared" si="29"/>
        <v>AIR FRESHENER</v>
      </c>
      <c r="H173" s="8">
        <v>7</v>
      </c>
      <c r="I173" s="8">
        <v>994</v>
      </c>
      <c r="J173" s="8">
        <f t="shared" si="30"/>
        <v>6958</v>
      </c>
      <c r="K173" s="6" t="s">
        <v>20</v>
      </c>
      <c r="L173" s="9">
        <v>45821</v>
      </c>
      <c r="M173" s="1" t="str">
        <f t="shared" ref="M173:M199" si="37">UPPER(Q173)</f>
        <v>ABUJA</v>
      </c>
      <c r="Q173" s="1" t="s">
        <v>58</v>
      </c>
      <c r="S173" s="1" t="str">
        <f t="shared" si="36"/>
        <v>Air Freshener</v>
      </c>
      <c r="U173" s="1" t="s">
        <v>55</v>
      </c>
      <c r="W173" s="1" t="str">
        <f t="shared" si="32"/>
        <v>Household</v>
      </c>
      <c r="Y173" s="16" t="s">
        <v>24</v>
      </c>
      <c r="AA173" s="1" t="s">
        <v>6</v>
      </c>
      <c r="AC173" s="5" t="str">
        <f t="shared" si="33"/>
        <v>ERIC WILLIS</v>
      </c>
      <c r="AE173" s="1" t="s">
        <v>382</v>
      </c>
    </row>
    <row r="174" spans="2:31" x14ac:dyDescent="0.25">
      <c r="B174" s="6">
        <v>173</v>
      </c>
      <c r="C174" s="3" t="s">
        <v>383</v>
      </c>
      <c r="D174" s="4" t="str">
        <f t="shared" si="34"/>
        <v>LAUREN MURPHY</v>
      </c>
      <c r="E174" s="6" t="str">
        <f t="shared" si="27"/>
        <v>MALE</v>
      </c>
      <c r="F174" s="6" t="str">
        <f t="shared" si="28"/>
        <v>HOUSEHOLD</v>
      </c>
      <c r="G174" s="6" t="str">
        <f t="shared" si="29"/>
        <v>BLEACH</v>
      </c>
      <c r="H174" s="8">
        <v>10</v>
      </c>
      <c r="I174" s="8">
        <v>583</v>
      </c>
      <c r="J174" s="8">
        <f t="shared" si="30"/>
        <v>5830</v>
      </c>
      <c r="K174" s="6" t="s">
        <v>20</v>
      </c>
      <c r="L174" s="9">
        <v>45839</v>
      </c>
      <c r="M174" s="1" t="str">
        <f t="shared" si="37"/>
        <v>BENIN CITY</v>
      </c>
      <c r="Q174" s="1" t="s">
        <v>16</v>
      </c>
      <c r="S174" s="1" t="str">
        <f t="shared" si="36"/>
        <v>Bleach</v>
      </c>
      <c r="U174" s="1" t="s">
        <v>134</v>
      </c>
      <c r="W174" s="1" t="str">
        <f t="shared" si="32"/>
        <v>Household</v>
      </c>
      <c r="Y174" s="16" t="s">
        <v>24</v>
      </c>
      <c r="AA174" s="1" t="s">
        <v>19</v>
      </c>
      <c r="AC174" s="5" t="str">
        <f t="shared" si="33"/>
        <v>LAUREN MURPHY</v>
      </c>
      <c r="AE174" s="1" t="s">
        <v>384</v>
      </c>
    </row>
    <row r="175" spans="2:31" x14ac:dyDescent="0.25">
      <c r="B175" s="6">
        <v>174</v>
      </c>
      <c r="C175" s="3" t="s">
        <v>385</v>
      </c>
      <c r="D175" s="4" t="str">
        <f t="shared" si="34"/>
        <v>NICHOLAS RAMIREZ</v>
      </c>
      <c r="E175" s="6" t="str">
        <f t="shared" si="27"/>
        <v>MALE</v>
      </c>
      <c r="F175" s="6" t="str">
        <f t="shared" si="28"/>
        <v>BEVERAGES</v>
      </c>
      <c r="G175" s="6" t="str">
        <f t="shared" si="29"/>
        <v>PEPSI</v>
      </c>
      <c r="H175" s="8">
        <v>4</v>
      </c>
      <c r="I175" s="8">
        <v>195</v>
      </c>
      <c r="J175" s="8">
        <f t="shared" si="30"/>
        <v>780</v>
      </c>
      <c r="K175" s="6" t="s">
        <v>15</v>
      </c>
      <c r="L175" s="9">
        <v>45814</v>
      </c>
      <c r="M175" s="1" t="str">
        <f t="shared" si="37"/>
        <v>KANO</v>
      </c>
      <c r="Q175" s="1" t="s">
        <v>72</v>
      </c>
      <c r="S175" s="1" t="str">
        <f t="shared" si="36"/>
        <v>Pepsi</v>
      </c>
      <c r="U175" s="1" t="s">
        <v>82</v>
      </c>
      <c r="W175" s="1" t="str">
        <f t="shared" si="32"/>
        <v>Beverages</v>
      </c>
      <c r="Y175" s="16" t="s">
        <v>13</v>
      </c>
      <c r="AA175" s="1" t="s">
        <v>19</v>
      </c>
      <c r="AC175" s="5" t="str">
        <f t="shared" si="33"/>
        <v>NICHOLAS RAMIREZ</v>
      </c>
      <c r="AE175" s="1" t="s">
        <v>386</v>
      </c>
    </row>
    <row r="176" spans="2:31" x14ac:dyDescent="0.25">
      <c r="B176" s="6">
        <v>175</v>
      </c>
      <c r="C176" s="3" t="s">
        <v>387</v>
      </c>
      <c r="D176" s="4" t="str">
        <f t="shared" si="34"/>
        <v>KAREN GARNER</v>
      </c>
      <c r="E176" s="6" t="str">
        <f t="shared" si="27"/>
        <v>MALE</v>
      </c>
      <c r="F176" s="6" t="str">
        <f t="shared" si="28"/>
        <v>BEVERAGES</v>
      </c>
      <c r="G176" s="6" t="str">
        <f t="shared" si="29"/>
        <v>FANTA</v>
      </c>
      <c r="H176" s="8">
        <v>8</v>
      </c>
      <c r="I176" s="8">
        <v>345</v>
      </c>
      <c r="J176" s="8">
        <f t="shared" si="30"/>
        <v>2760</v>
      </c>
      <c r="K176" s="6" t="s">
        <v>20</v>
      </c>
      <c r="L176" s="9">
        <v>45833</v>
      </c>
      <c r="M176" s="1" t="str">
        <f t="shared" si="37"/>
        <v>LAGOS</v>
      </c>
      <c r="Q176" s="1" t="s">
        <v>29</v>
      </c>
      <c r="S176" s="1" t="str">
        <f t="shared" si="36"/>
        <v>Fanta</v>
      </c>
      <c r="U176" s="1" t="s">
        <v>14</v>
      </c>
      <c r="W176" s="1" t="str">
        <f t="shared" si="32"/>
        <v>Beverages</v>
      </c>
      <c r="Y176" s="16" t="s">
        <v>13</v>
      </c>
      <c r="AA176" s="1" t="s">
        <v>19</v>
      </c>
      <c r="AC176" s="5" t="str">
        <f t="shared" si="33"/>
        <v>KAREN GARNER</v>
      </c>
      <c r="AE176" s="1" t="s">
        <v>388</v>
      </c>
    </row>
    <row r="177" spans="2:31" x14ac:dyDescent="0.25">
      <c r="B177" s="6">
        <v>176</v>
      </c>
      <c r="C177" s="3" t="s">
        <v>389</v>
      </c>
      <c r="D177" s="4" t="str">
        <f t="shared" si="34"/>
        <v>DAVID BERRY</v>
      </c>
      <c r="E177" s="6" t="str">
        <f t="shared" si="27"/>
        <v>FEMALE</v>
      </c>
      <c r="F177" s="6" t="str">
        <f t="shared" si="28"/>
        <v>SNACKS</v>
      </c>
      <c r="G177" s="6" t="str">
        <f t="shared" si="29"/>
        <v>BISCUITS</v>
      </c>
      <c r="H177" s="8">
        <v>3</v>
      </c>
      <c r="I177" s="8">
        <v>178</v>
      </c>
      <c r="J177" s="8">
        <f t="shared" si="30"/>
        <v>534</v>
      </c>
      <c r="K177" s="6" t="s">
        <v>9</v>
      </c>
      <c r="L177" s="9">
        <v>45827</v>
      </c>
      <c r="M177" s="1" t="str">
        <f t="shared" si="37"/>
        <v>BENIN CITY</v>
      </c>
      <c r="Q177" s="1" t="s">
        <v>16</v>
      </c>
      <c r="S177" s="1" t="str">
        <f t="shared" si="36"/>
        <v>Biscuits</v>
      </c>
      <c r="U177" s="1" t="s">
        <v>8</v>
      </c>
      <c r="W177" s="1" t="str">
        <f t="shared" si="32"/>
        <v>Snacks</v>
      </c>
      <c r="Y177" s="16" t="s">
        <v>7</v>
      </c>
      <c r="AA177" s="1" t="s">
        <v>6</v>
      </c>
      <c r="AC177" s="5" t="str">
        <f t="shared" si="33"/>
        <v>DAVID BERRY</v>
      </c>
      <c r="AE177" s="1" t="s">
        <v>390</v>
      </c>
    </row>
    <row r="178" spans="2:31" x14ac:dyDescent="0.25">
      <c r="B178" s="6">
        <v>177</v>
      </c>
      <c r="C178" s="3" t="s">
        <v>391</v>
      </c>
      <c r="D178" s="4" t="str">
        <f t="shared" si="34"/>
        <v>JOSEPH PERKINS</v>
      </c>
      <c r="E178" s="6" t="str">
        <f t="shared" si="27"/>
        <v>MALE</v>
      </c>
      <c r="F178" s="6" t="str">
        <f t="shared" si="28"/>
        <v>HOUSEHOLD</v>
      </c>
      <c r="G178" s="6" t="str">
        <f t="shared" si="29"/>
        <v>DETERGENT</v>
      </c>
      <c r="H178" s="8">
        <v>8</v>
      </c>
      <c r="I178" s="8">
        <v>262</v>
      </c>
      <c r="J178" s="8">
        <f t="shared" si="30"/>
        <v>2096</v>
      </c>
      <c r="K178" s="6" t="s">
        <v>42</v>
      </c>
      <c r="L178" s="9">
        <v>45825</v>
      </c>
      <c r="M178" s="1" t="str">
        <f t="shared" si="37"/>
        <v>BENIN CITY</v>
      </c>
      <c r="Q178" s="1" t="s">
        <v>16</v>
      </c>
      <c r="S178" s="1" t="str">
        <f t="shared" si="36"/>
        <v>Detergent</v>
      </c>
      <c r="U178" s="1" t="s">
        <v>63</v>
      </c>
      <c r="W178" s="1" t="str">
        <f t="shared" si="32"/>
        <v>Household</v>
      </c>
      <c r="Y178" s="16" t="s">
        <v>24</v>
      </c>
      <c r="AA178" s="1" t="s">
        <v>19</v>
      </c>
      <c r="AC178" s="5" t="str">
        <f t="shared" si="33"/>
        <v>JOSEPH PERKINS</v>
      </c>
      <c r="AE178" s="1" t="s">
        <v>392</v>
      </c>
    </row>
    <row r="179" spans="2:31" x14ac:dyDescent="0.25">
      <c r="B179" s="6">
        <v>178</v>
      </c>
      <c r="C179" s="3" t="s">
        <v>393</v>
      </c>
      <c r="D179" s="4" t="str">
        <f t="shared" ref="D179:D210" si="38">TRIM(AC179)</f>
        <v>JERRY JOHNSON</v>
      </c>
      <c r="E179" s="6" t="str">
        <f t="shared" si="27"/>
        <v>FEMALE</v>
      </c>
      <c r="F179" s="6" t="str">
        <f t="shared" si="28"/>
        <v>PERSONAL CARE</v>
      </c>
      <c r="G179" s="6" t="str">
        <f t="shared" si="29"/>
        <v>LOTION</v>
      </c>
      <c r="H179" s="8">
        <v>4</v>
      </c>
      <c r="I179" s="8">
        <v>386</v>
      </c>
      <c r="J179" s="8">
        <f t="shared" si="30"/>
        <v>1544</v>
      </c>
      <c r="K179" s="6" t="s">
        <v>9</v>
      </c>
      <c r="L179" s="9">
        <v>45831</v>
      </c>
      <c r="M179" s="1" t="str">
        <f t="shared" si="37"/>
        <v>PORT HARCOURT</v>
      </c>
      <c r="Q179" s="1" t="s">
        <v>10</v>
      </c>
      <c r="S179" s="1" t="str">
        <f t="shared" si="36"/>
        <v>Lotion</v>
      </c>
      <c r="U179" s="1" t="s">
        <v>49</v>
      </c>
      <c r="W179" s="1" t="str">
        <f t="shared" si="32"/>
        <v>Personal Care</v>
      </c>
      <c r="Y179" s="16" t="s">
        <v>555</v>
      </c>
      <c r="AA179" s="1" t="s">
        <v>6</v>
      </c>
      <c r="AC179" s="5" t="str">
        <f t="shared" si="33"/>
        <v>JERRY JOHNSON</v>
      </c>
      <c r="AE179" s="1" t="s">
        <v>394</v>
      </c>
    </row>
    <row r="180" spans="2:31" x14ac:dyDescent="0.25">
      <c r="B180" s="6">
        <v>179</v>
      </c>
      <c r="C180" s="3" t="s">
        <v>395</v>
      </c>
      <c r="D180" s="4" t="str">
        <f t="shared" si="38"/>
        <v>SHARON CONNER</v>
      </c>
      <c r="E180" s="6" t="str">
        <f t="shared" si="27"/>
        <v>FEMALE</v>
      </c>
      <c r="F180" s="6" t="str">
        <f t="shared" si="28"/>
        <v>HOUSEHOLD</v>
      </c>
      <c r="G180" s="6" t="str">
        <f t="shared" si="29"/>
        <v>SOAP</v>
      </c>
      <c r="H180" s="8">
        <v>5</v>
      </c>
      <c r="I180" s="8">
        <v>481</v>
      </c>
      <c r="J180" s="8">
        <f t="shared" si="30"/>
        <v>2405</v>
      </c>
      <c r="K180" s="6" t="s">
        <v>20</v>
      </c>
      <c r="L180" s="9">
        <v>45830</v>
      </c>
      <c r="M180" s="1" t="str">
        <f t="shared" si="37"/>
        <v>ABUJA</v>
      </c>
      <c r="Q180" s="1" t="s">
        <v>58</v>
      </c>
      <c r="S180" s="1" t="str">
        <f t="shared" si="36"/>
        <v>Soap</v>
      </c>
      <c r="U180" s="1" t="s">
        <v>32</v>
      </c>
      <c r="W180" s="1" t="str">
        <f t="shared" si="32"/>
        <v>Household</v>
      </c>
      <c r="Y180" s="16" t="s">
        <v>24</v>
      </c>
      <c r="AA180" s="1" t="s">
        <v>6</v>
      </c>
      <c r="AC180" s="5" t="str">
        <f t="shared" si="33"/>
        <v>SHARON CONNER</v>
      </c>
      <c r="AE180" s="1" t="s">
        <v>396</v>
      </c>
    </row>
    <row r="181" spans="2:31" x14ac:dyDescent="0.25">
      <c r="B181" s="6">
        <v>180</v>
      </c>
      <c r="C181" s="3" t="s">
        <v>397</v>
      </c>
      <c r="D181" s="4" t="str">
        <f t="shared" si="38"/>
        <v>DEBRA LUTZ</v>
      </c>
      <c r="E181" s="6" t="str">
        <f t="shared" si="27"/>
        <v>MALE</v>
      </c>
      <c r="F181" s="6" t="str">
        <f t="shared" si="28"/>
        <v>SNACKS</v>
      </c>
      <c r="G181" s="6" t="str">
        <f t="shared" si="29"/>
        <v>GRANOLA BAR</v>
      </c>
      <c r="H181" s="8">
        <v>4</v>
      </c>
      <c r="I181" s="8">
        <v>367</v>
      </c>
      <c r="J181" s="8">
        <f t="shared" si="30"/>
        <v>1468</v>
      </c>
      <c r="K181" s="6" t="s">
        <v>20</v>
      </c>
      <c r="L181" s="9">
        <v>45831</v>
      </c>
      <c r="M181" s="1" t="str">
        <f t="shared" si="37"/>
        <v>KANO</v>
      </c>
      <c r="Q181" s="1" t="s">
        <v>72</v>
      </c>
      <c r="S181" s="1" t="str">
        <f t="shared" si="36"/>
        <v>Granola Bar</v>
      </c>
      <c r="U181" s="1" t="s">
        <v>92</v>
      </c>
      <c r="W181" s="1" t="str">
        <f t="shared" si="32"/>
        <v>Snacks</v>
      </c>
      <c r="Y181" s="16" t="s">
        <v>7</v>
      </c>
      <c r="AA181" s="1" t="s">
        <v>19</v>
      </c>
      <c r="AC181" s="5" t="str">
        <f t="shared" si="33"/>
        <v>DEBRA LUTZ</v>
      </c>
      <c r="AE181" s="1" t="s">
        <v>398</v>
      </c>
    </row>
    <row r="182" spans="2:31" x14ac:dyDescent="0.25">
      <c r="B182" s="6">
        <v>181</v>
      </c>
      <c r="C182" s="3" t="s">
        <v>399</v>
      </c>
      <c r="D182" s="4" t="str">
        <f t="shared" si="38"/>
        <v>EMILY HILL</v>
      </c>
      <c r="E182" s="6" t="str">
        <f t="shared" si="27"/>
        <v>FEMALE</v>
      </c>
      <c r="F182" s="6" t="str">
        <f t="shared" si="28"/>
        <v>PERSONAL CARE</v>
      </c>
      <c r="G182" s="6" t="str">
        <f t="shared" si="29"/>
        <v>DEODORANT</v>
      </c>
      <c r="H182" s="8">
        <v>7</v>
      </c>
      <c r="I182" s="8">
        <v>373</v>
      </c>
      <c r="J182" s="8">
        <f t="shared" si="30"/>
        <v>2611</v>
      </c>
      <c r="K182" s="6" t="s">
        <v>15</v>
      </c>
      <c r="L182" s="9">
        <v>45830</v>
      </c>
      <c r="M182" s="1" t="str">
        <f t="shared" si="37"/>
        <v>BENIN CITY</v>
      </c>
      <c r="Q182" s="1" t="s">
        <v>16</v>
      </c>
      <c r="S182" s="1" t="str">
        <f t="shared" si="36"/>
        <v>Deodorant</v>
      </c>
      <c r="U182" s="1" t="s">
        <v>159</v>
      </c>
      <c r="W182" s="1" t="str">
        <f t="shared" si="32"/>
        <v>Personal Care</v>
      </c>
      <c r="Y182" s="16" t="s">
        <v>555</v>
      </c>
      <c r="AA182" s="1" t="s">
        <v>6</v>
      </c>
      <c r="AC182" s="5" t="str">
        <f t="shared" si="33"/>
        <v>EMILY HILL</v>
      </c>
      <c r="AE182" s="1" t="s">
        <v>400</v>
      </c>
    </row>
    <row r="183" spans="2:31" x14ac:dyDescent="0.25">
      <c r="B183" s="6">
        <v>182</v>
      </c>
      <c r="C183" s="3" t="s">
        <v>401</v>
      </c>
      <c r="D183" s="4" t="str">
        <f t="shared" si="38"/>
        <v>NANCY CARTER</v>
      </c>
      <c r="E183" s="6" t="str">
        <f t="shared" si="27"/>
        <v>FEMALE</v>
      </c>
      <c r="F183" s="6" t="str">
        <f t="shared" si="28"/>
        <v>HOUSEHOLD</v>
      </c>
      <c r="G183" s="6" t="str">
        <f t="shared" si="29"/>
        <v>TOILET PAPER</v>
      </c>
      <c r="H183" s="8">
        <v>5</v>
      </c>
      <c r="I183" s="8">
        <v>767</v>
      </c>
      <c r="J183" s="8">
        <f t="shared" si="30"/>
        <v>3835</v>
      </c>
      <c r="K183" s="6" t="s">
        <v>9</v>
      </c>
      <c r="L183" s="9">
        <v>45822</v>
      </c>
      <c r="M183" s="1" t="str">
        <f t="shared" si="37"/>
        <v>ABUJA</v>
      </c>
      <c r="Q183" s="1" t="s">
        <v>58</v>
      </c>
      <c r="S183" s="1" t="str">
        <f t="shared" si="36"/>
        <v>Toilet Paper</v>
      </c>
      <c r="U183" s="1" t="s">
        <v>28</v>
      </c>
      <c r="W183" s="1" t="str">
        <f t="shared" si="32"/>
        <v>Household</v>
      </c>
      <c r="Y183" s="16" t="s">
        <v>24</v>
      </c>
      <c r="AA183" s="1" t="s">
        <v>6</v>
      </c>
      <c r="AC183" s="5" t="str">
        <f t="shared" si="33"/>
        <v>NANCY CARTER</v>
      </c>
      <c r="AE183" s="1" t="s">
        <v>402</v>
      </c>
    </row>
    <row r="184" spans="2:31" x14ac:dyDescent="0.25">
      <c r="B184" s="6">
        <v>183</v>
      </c>
      <c r="C184" s="3" t="s">
        <v>403</v>
      </c>
      <c r="D184" s="4" t="str">
        <f t="shared" si="38"/>
        <v>JAMES CARPENTER</v>
      </c>
      <c r="E184" s="6" t="str">
        <f t="shared" si="27"/>
        <v>MALE</v>
      </c>
      <c r="F184" s="6" t="str">
        <f t="shared" si="28"/>
        <v>BEVERAGES</v>
      </c>
      <c r="G184" s="6" t="str">
        <f t="shared" si="29"/>
        <v>JUICE</v>
      </c>
      <c r="H184" s="8">
        <v>1</v>
      </c>
      <c r="I184" s="8">
        <v>654</v>
      </c>
      <c r="J184" s="8">
        <f t="shared" si="30"/>
        <v>654</v>
      </c>
      <c r="K184" s="6" t="s">
        <v>9</v>
      </c>
      <c r="L184" s="9">
        <v>45818</v>
      </c>
      <c r="M184" s="1" t="str">
        <f t="shared" si="37"/>
        <v>IBADAN</v>
      </c>
      <c r="Q184" s="1" t="s">
        <v>25</v>
      </c>
      <c r="S184" s="1" t="str">
        <f t="shared" si="36"/>
        <v>Juice</v>
      </c>
      <c r="U184" s="1" t="s">
        <v>68</v>
      </c>
      <c r="W184" s="1" t="str">
        <f t="shared" si="32"/>
        <v>Beverages</v>
      </c>
      <c r="Y184" s="16" t="s">
        <v>13</v>
      </c>
      <c r="AA184" s="1" t="s">
        <v>19</v>
      </c>
      <c r="AC184" s="5" t="str">
        <f t="shared" si="33"/>
        <v>JAMES CARPENTER</v>
      </c>
      <c r="AE184" s="1" t="s">
        <v>404</v>
      </c>
    </row>
    <row r="185" spans="2:31" x14ac:dyDescent="0.25">
      <c r="B185" s="6">
        <v>184</v>
      </c>
      <c r="C185" s="3" t="s">
        <v>405</v>
      </c>
      <c r="D185" s="4" t="str">
        <f t="shared" si="38"/>
        <v>DR. EVELYN REED DDS</v>
      </c>
      <c r="E185" s="6" t="str">
        <f t="shared" si="27"/>
        <v>FEMALE</v>
      </c>
      <c r="F185" s="6" t="str">
        <f t="shared" si="28"/>
        <v>BEVERAGES</v>
      </c>
      <c r="G185" s="6" t="str">
        <f t="shared" si="29"/>
        <v>JUICE</v>
      </c>
      <c r="H185" s="8">
        <v>2</v>
      </c>
      <c r="I185" s="8">
        <v>161</v>
      </c>
      <c r="J185" s="8">
        <f t="shared" si="30"/>
        <v>322</v>
      </c>
      <c r="K185" s="6" t="s">
        <v>20</v>
      </c>
      <c r="L185" s="9">
        <v>45828</v>
      </c>
      <c r="M185" s="1" t="str">
        <f t="shared" si="37"/>
        <v>IBADAN</v>
      </c>
      <c r="Q185" s="1" t="s">
        <v>25</v>
      </c>
      <c r="S185" s="1" t="str">
        <f t="shared" si="36"/>
        <v>Juice</v>
      </c>
      <c r="U185" s="1" t="s">
        <v>68</v>
      </c>
      <c r="W185" s="1" t="str">
        <f t="shared" si="32"/>
        <v>Beverages</v>
      </c>
      <c r="Y185" s="16" t="s">
        <v>13</v>
      </c>
      <c r="AA185" s="1" t="s">
        <v>6</v>
      </c>
      <c r="AC185" s="5" t="str">
        <f t="shared" si="33"/>
        <v>DR. EVELYN REED DDS</v>
      </c>
      <c r="AE185" s="1" t="s">
        <v>406</v>
      </c>
    </row>
    <row r="186" spans="2:31" x14ac:dyDescent="0.25">
      <c r="B186" s="6">
        <v>185</v>
      </c>
      <c r="C186" s="3" t="s">
        <v>407</v>
      </c>
      <c r="D186" s="4" t="str">
        <f t="shared" si="38"/>
        <v>WILLIAM FUENTES</v>
      </c>
      <c r="E186" s="6" t="str">
        <f t="shared" si="27"/>
        <v>MALE</v>
      </c>
      <c r="F186" s="6" t="str">
        <f t="shared" si="28"/>
        <v>SNACKS</v>
      </c>
      <c r="G186" s="6" t="str">
        <f t="shared" si="29"/>
        <v>COOKIES</v>
      </c>
      <c r="H186" s="8">
        <v>6</v>
      </c>
      <c r="I186" s="8">
        <v>399</v>
      </c>
      <c r="J186" s="8">
        <f t="shared" si="30"/>
        <v>2394</v>
      </c>
      <c r="K186" s="6" t="s">
        <v>15</v>
      </c>
      <c r="L186" s="9">
        <v>45837</v>
      </c>
      <c r="M186" s="1" t="str">
        <f t="shared" si="37"/>
        <v>KANO</v>
      </c>
      <c r="Q186" s="1" t="s">
        <v>72</v>
      </c>
      <c r="S186" s="1" t="str">
        <f t="shared" si="36"/>
        <v>Cookies</v>
      </c>
      <c r="U186" s="1" t="s">
        <v>71</v>
      </c>
      <c r="W186" s="1" t="str">
        <f t="shared" si="32"/>
        <v>Snacks</v>
      </c>
      <c r="Y186" s="16" t="s">
        <v>7</v>
      </c>
      <c r="AA186" s="1" t="s">
        <v>19</v>
      </c>
      <c r="AC186" s="5" t="str">
        <f t="shared" si="33"/>
        <v>WILLIAM FUENTES</v>
      </c>
      <c r="AE186" s="1" t="s">
        <v>408</v>
      </c>
    </row>
    <row r="187" spans="2:31" x14ac:dyDescent="0.25">
      <c r="B187" s="6">
        <v>186</v>
      </c>
      <c r="C187" s="3" t="s">
        <v>409</v>
      </c>
      <c r="D187" s="4" t="str">
        <f t="shared" si="38"/>
        <v>JACKIE STEVENS</v>
      </c>
      <c r="E187" s="6" t="str">
        <f t="shared" si="27"/>
        <v>MALE</v>
      </c>
      <c r="F187" s="6" t="str">
        <f t="shared" si="28"/>
        <v>HOUSEHOLD</v>
      </c>
      <c r="G187" s="6" t="str">
        <f t="shared" si="29"/>
        <v>DETERGENT</v>
      </c>
      <c r="H187" s="8">
        <v>8</v>
      </c>
      <c r="I187" s="8">
        <v>566</v>
      </c>
      <c r="J187" s="8">
        <f t="shared" si="30"/>
        <v>4528</v>
      </c>
      <c r="K187" s="6" t="s">
        <v>20</v>
      </c>
      <c r="L187" s="9">
        <v>45815</v>
      </c>
      <c r="M187" s="1" t="str">
        <f t="shared" si="37"/>
        <v>ABUJA</v>
      </c>
      <c r="Q187" s="1" t="s">
        <v>58</v>
      </c>
      <c r="S187" s="1" t="s">
        <v>548</v>
      </c>
      <c r="U187" s="1"/>
      <c r="W187" s="1" t="str">
        <f t="shared" si="32"/>
        <v>Household</v>
      </c>
      <c r="Y187" s="16" t="s">
        <v>24</v>
      </c>
      <c r="AA187" s="1" t="s">
        <v>19</v>
      </c>
      <c r="AC187" s="5" t="str">
        <f t="shared" si="33"/>
        <v>JACKIE STEVENS</v>
      </c>
      <c r="AE187" s="1" t="s">
        <v>410</v>
      </c>
    </row>
    <row r="188" spans="2:31" x14ac:dyDescent="0.25">
      <c r="B188" s="6">
        <v>187</v>
      </c>
      <c r="C188" s="3" t="s">
        <v>411</v>
      </c>
      <c r="D188" s="4" t="str">
        <f t="shared" si="38"/>
        <v>SAMANTHA KING</v>
      </c>
      <c r="E188" s="6" t="str">
        <f t="shared" si="27"/>
        <v>FEMALE</v>
      </c>
      <c r="F188" s="6" t="str">
        <f t="shared" si="28"/>
        <v>HOUSEHOLD</v>
      </c>
      <c r="G188" s="6" t="str">
        <f t="shared" si="29"/>
        <v>AIR FRESHENER</v>
      </c>
      <c r="H188" s="8">
        <v>10</v>
      </c>
      <c r="I188" s="8">
        <v>694</v>
      </c>
      <c r="J188" s="8">
        <f t="shared" si="30"/>
        <v>6940</v>
      </c>
      <c r="K188" s="6" t="s">
        <v>42</v>
      </c>
      <c r="L188" s="9">
        <v>45824</v>
      </c>
      <c r="M188" s="1" t="str">
        <f t="shared" si="37"/>
        <v>ABUJA</v>
      </c>
      <c r="Q188" s="1" t="s">
        <v>58</v>
      </c>
      <c r="S188" s="1" t="str">
        <f t="shared" ref="S188:S219" si="39">TRIM(U188)</f>
        <v>Air Freshener</v>
      </c>
      <c r="U188" s="1" t="s">
        <v>55</v>
      </c>
      <c r="W188" s="1" t="str">
        <f t="shared" si="32"/>
        <v>Household</v>
      </c>
      <c r="Y188" s="16" t="s">
        <v>24</v>
      </c>
      <c r="AA188" s="1" t="s">
        <v>6</v>
      </c>
      <c r="AC188" s="5" t="str">
        <f t="shared" si="33"/>
        <v>SAMANTHA KING</v>
      </c>
      <c r="AE188" s="1" t="s">
        <v>412</v>
      </c>
    </row>
    <row r="189" spans="2:31" x14ac:dyDescent="0.25">
      <c r="B189" s="6">
        <v>188</v>
      </c>
      <c r="C189" s="3" t="s">
        <v>413</v>
      </c>
      <c r="D189" s="4" t="str">
        <f t="shared" si="38"/>
        <v>EMILY COOK</v>
      </c>
      <c r="E189" s="6" t="str">
        <f t="shared" si="27"/>
        <v>MALE</v>
      </c>
      <c r="F189" s="6" t="str">
        <f t="shared" si="28"/>
        <v>SNACKS</v>
      </c>
      <c r="G189" s="6" t="str">
        <f t="shared" si="29"/>
        <v>CHIPS</v>
      </c>
      <c r="H189" s="8">
        <v>2</v>
      </c>
      <c r="I189" s="8">
        <v>803</v>
      </c>
      <c r="J189" s="8">
        <f t="shared" si="30"/>
        <v>1606</v>
      </c>
      <c r="K189" s="6" t="s">
        <v>42</v>
      </c>
      <c r="L189" s="9">
        <v>45823</v>
      </c>
      <c r="M189" s="1" t="str">
        <f t="shared" si="37"/>
        <v>BENIN CITY</v>
      </c>
      <c r="Q189" s="1" t="s">
        <v>16</v>
      </c>
      <c r="S189" s="1" t="str">
        <f t="shared" si="39"/>
        <v>Chips</v>
      </c>
      <c r="U189" s="1" t="s">
        <v>103</v>
      </c>
      <c r="W189" s="1" t="str">
        <f t="shared" si="32"/>
        <v>Snacks</v>
      </c>
      <c r="Y189" s="16" t="s">
        <v>7</v>
      </c>
      <c r="AA189" s="1" t="s">
        <v>19</v>
      </c>
      <c r="AC189" s="5" t="str">
        <f t="shared" si="33"/>
        <v>EMILY COOK</v>
      </c>
      <c r="AE189" s="1" t="s">
        <v>414</v>
      </c>
    </row>
    <row r="190" spans="2:31" x14ac:dyDescent="0.25">
      <c r="B190" s="6">
        <v>189</v>
      </c>
      <c r="C190" s="3" t="s">
        <v>415</v>
      </c>
      <c r="D190" s="4" t="str">
        <f t="shared" si="38"/>
        <v>APRIL FLORES</v>
      </c>
      <c r="E190" s="6" t="str">
        <f t="shared" si="27"/>
        <v>FEMALE</v>
      </c>
      <c r="F190" s="6" t="str">
        <f t="shared" si="28"/>
        <v>BEVERAGES</v>
      </c>
      <c r="G190" s="6" t="str">
        <f t="shared" si="29"/>
        <v>PEPSI</v>
      </c>
      <c r="H190" s="8">
        <v>4</v>
      </c>
      <c r="I190" s="8">
        <v>959</v>
      </c>
      <c r="J190" s="8">
        <f t="shared" si="30"/>
        <v>3836</v>
      </c>
      <c r="K190" s="6" t="s">
        <v>42</v>
      </c>
      <c r="L190" s="9">
        <v>45828</v>
      </c>
      <c r="M190" s="1" t="str">
        <f t="shared" si="37"/>
        <v>IBADAN</v>
      </c>
      <c r="Q190" s="1" t="s">
        <v>25</v>
      </c>
      <c r="S190" s="1" t="str">
        <f t="shared" si="39"/>
        <v>Pepsi</v>
      </c>
      <c r="U190" s="1" t="s">
        <v>82</v>
      </c>
      <c r="W190" s="1" t="str">
        <f t="shared" si="32"/>
        <v>Beverages</v>
      </c>
      <c r="Y190" s="16" t="s">
        <v>13</v>
      </c>
      <c r="AA190" s="1" t="s">
        <v>6</v>
      </c>
      <c r="AC190" s="5" t="str">
        <f t="shared" si="33"/>
        <v xml:space="preserve">  APRIL FLORES  </v>
      </c>
      <c r="AE190" s="1" t="s">
        <v>416</v>
      </c>
    </row>
    <row r="191" spans="2:31" x14ac:dyDescent="0.25">
      <c r="B191" s="6">
        <v>190</v>
      </c>
      <c r="C191" s="3" t="s">
        <v>417</v>
      </c>
      <c r="D191" s="4" t="str">
        <f t="shared" si="38"/>
        <v>HEATHER PHILLIPS</v>
      </c>
      <c r="E191" s="6" t="str">
        <f t="shared" si="27"/>
        <v>MALE</v>
      </c>
      <c r="F191" s="6" t="str">
        <f t="shared" si="28"/>
        <v>HOUSEHOLD</v>
      </c>
      <c r="G191" s="6" t="str">
        <f t="shared" si="29"/>
        <v>DETERGENT</v>
      </c>
      <c r="H191" s="8">
        <v>10</v>
      </c>
      <c r="I191" s="8">
        <v>467</v>
      </c>
      <c r="J191" s="8">
        <f t="shared" si="30"/>
        <v>4670</v>
      </c>
      <c r="K191" s="6" t="s">
        <v>15</v>
      </c>
      <c r="L191" s="9">
        <v>45827</v>
      </c>
      <c r="M191" s="1" t="str">
        <f t="shared" si="37"/>
        <v>PORT HARCOURT</v>
      </c>
      <c r="Q191" s="1" t="s">
        <v>10</v>
      </c>
      <c r="S191" s="1" t="str">
        <f t="shared" si="39"/>
        <v>Detergent</v>
      </c>
      <c r="U191" s="1" t="s">
        <v>63</v>
      </c>
      <c r="W191" s="1" t="str">
        <f t="shared" si="32"/>
        <v>Household</v>
      </c>
      <c r="Y191" s="16" t="s">
        <v>24</v>
      </c>
      <c r="AA191" s="1" t="s">
        <v>19</v>
      </c>
      <c r="AC191" s="5" t="str">
        <f t="shared" si="33"/>
        <v>HEATHER PHILLIPS</v>
      </c>
      <c r="AE191" s="1" t="s">
        <v>418</v>
      </c>
    </row>
    <row r="192" spans="2:31" x14ac:dyDescent="0.25">
      <c r="B192" s="6">
        <v>191</v>
      </c>
      <c r="C192" s="3" t="s">
        <v>419</v>
      </c>
      <c r="D192" s="4" t="str">
        <f t="shared" si="38"/>
        <v>SARAH ROBINSON</v>
      </c>
      <c r="E192" s="6" t="str">
        <f t="shared" si="27"/>
        <v>MALE</v>
      </c>
      <c r="F192" s="6" t="str">
        <f t="shared" si="28"/>
        <v>BEVERAGES</v>
      </c>
      <c r="G192" s="6" t="str">
        <f t="shared" si="29"/>
        <v>FANTA</v>
      </c>
      <c r="H192" s="8">
        <v>6</v>
      </c>
      <c r="I192" s="8">
        <v>661</v>
      </c>
      <c r="J192" s="8">
        <f t="shared" si="30"/>
        <v>3966</v>
      </c>
      <c r="K192" s="6" t="s">
        <v>20</v>
      </c>
      <c r="L192" s="9">
        <v>45831</v>
      </c>
      <c r="M192" s="1" t="str">
        <f t="shared" si="37"/>
        <v>IBADAN</v>
      </c>
      <c r="Q192" s="1" t="s">
        <v>364</v>
      </c>
      <c r="S192" s="1" t="str">
        <f t="shared" si="39"/>
        <v>Fanta</v>
      </c>
      <c r="U192" s="1" t="s">
        <v>14</v>
      </c>
      <c r="W192" s="1" t="str">
        <f t="shared" si="32"/>
        <v>Beverages</v>
      </c>
      <c r="Y192" s="16" t="s">
        <v>13</v>
      </c>
      <c r="AA192" s="1" t="s">
        <v>19</v>
      </c>
      <c r="AC192" s="5" t="str">
        <f t="shared" si="33"/>
        <v>SARAH ROBINSON</v>
      </c>
      <c r="AE192" s="1" t="s">
        <v>420</v>
      </c>
    </row>
    <row r="193" spans="2:31" x14ac:dyDescent="0.25">
      <c r="B193" s="6">
        <v>192</v>
      </c>
      <c r="C193" s="3" t="s">
        <v>421</v>
      </c>
      <c r="D193" s="4" t="str">
        <f t="shared" si="38"/>
        <v>DAWN LANDRY</v>
      </c>
      <c r="E193" s="6" t="str">
        <f t="shared" si="27"/>
        <v>FEMALE</v>
      </c>
      <c r="F193" s="6" t="str">
        <f t="shared" si="28"/>
        <v>SNACKS</v>
      </c>
      <c r="G193" s="6" t="str">
        <f t="shared" si="29"/>
        <v>GRANOLA BAR</v>
      </c>
      <c r="H193" s="8">
        <v>9</v>
      </c>
      <c r="I193" s="8">
        <v>58</v>
      </c>
      <c r="J193" s="8">
        <f t="shared" si="30"/>
        <v>522</v>
      </c>
      <c r="K193" s="6" t="s">
        <v>20</v>
      </c>
      <c r="L193" s="9">
        <v>45811</v>
      </c>
      <c r="M193" s="1" t="str">
        <f t="shared" si="37"/>
        <v>IBADAN</v>
      </c>
      <c r="Q193" s="1" t="s">
        <v>25</v>
      </c>
      <c r="S193" s="1" t="str">
        <f t="shared" si="39"/>
        <v>Granola Bar</v>
      </c>
      <c r="U193" s="1" t="s">
        <v>92</v>
      </c>
      <c r="W193" s="1" t="str">
        <f t="shared" si="32"/>
        <v>Snacks</v>
      </c>
      <c r="Y193" s="16" t="s">
        <v>7</v>
      </c>
      <c r="AA193" s="1" t="s">
        <v>6</v>
      </c>
      <c r="AC193" s="5" t="str">
        <f t="shared" si="33"/>
        <v>DAWN LANDRY</v>
      </c>
      <c r="AE193" s="1" t="s">
        <v>422</v>
      </c>
    </row>
    <row r="194" spans="2:31" x14ac:dyDescent="0.25">
      <c r="B194" s="6">
        <v>193</v>
      </c>
      <c r="C194" s="3" t="s">
        <v>423</v>
      </c>
      <c r="D194" s="4" t="str">
        <f t="shared" si="38"/>
        <v>MICHELLE DAVIS</v>
      </c>
      <c r="E194" s="6" t="str">
        <f t="shared" ref="E194:E251" si="40">UPPER(AA194)</f>
        <v>MALE</v>
      </c>
      <c r="F194" s="6" t="str">
        <f t="shared" ref="F194:F251" si="41">UPPER(W194)</f>
        <v>HOUSEHOLD</v>
      </c>
      <c r="G194" s="6" t="str">
        <f t="shared" ref="G194:G251" si="42">UPPER(S194)</f>
        <v>BLEACH</v>
      </c>
      <c r="H194" s="8">
        <v>7</v>
      </c>
      <c r="I194" s="8">
        <v>336</v>
      </c>
      <c r="J194" s="8">
        <f t="shared" ref="J194:J251" si="43">I194*H194</f>
        <v>2352</v>
      </c>
      <c r="K194" s="6" t="s">
        <v>42</v>
      </c>
      <c r="L194" s="9">
        <v>45823</v>
      </c>
      <c r="M194" s="1" t="str">
        <f t="shared" si="37"/>
        <v>IBADAN</v>
      </c>
      <c r="Q194" s="1" t="s">
        <v>25</v>
      </c>
      <c r="S194" s="1" t="str">
        <f t="shared" si="39"/>
        <v>Bleach</v>
      </c>
      <c r="U194" s="1" t="s">
        <v>134</v>
      </c>
      <c r="W194" s="1" t="str">
        <f t="shared" ref="W194:W251" si="44">TRIM(Y194)</f>
        <v>Household</v>
      </c>
      <c r="Y194" s="16" t="s">
        <v>24</v>
      </c>
      <c r="AA194" s="1" t="s">
        <v>19</v>
      </c>
      <c r="AC194" s="5" t="str">
        <f t="shared" ref="AC194:AC251" si="45">UPPER(AE194)</f>
        <v>MICHELLE DAVIS</v>
      </c>
      <c r="AE194" s="1" t="s">
        <v>424</v>
      </c>
    </row>
    <row r="195" spans="2:31" x14ac:dyDescent="0.25">
      <c r="B195" s="6">
        <v>194</v>
      </c>
      <c r="C195" s="3" t="s">
        <v>425</v>
      </c>
      <c r="D195" s="4" t="str">
        <f t="shared" si="38"/>
        <v>BRENT PEREZ</v>
      </c>
      <c r="E195" s="6" t="str">
        <f t="shared" si="40"/>
        <v>MALE</v>
      </c>
      <c r="F195" s="6" t="str">
        <f t="shared" si="41"/>
        <v>BEVERAGES</v>
      </c>
      <c r="G195" s="6" t="str">
        <f t="shared" si="42"/>
        <v>COKE</v>
      </c>
      <c r="H195" s="8">
        <v>3</v>
      </c>
      <c r="I195" s="8">
        <v>487</v>
      </c>
      <c r="J195" s="15">
        <f t="shared" si="43"/>
        <v>1461</v>
      </c>
      <c r="K195" s="6" t="s">
        <v>42</v>
      </c>
      <c r="L195" s="9">
        <v>45838</v>
      </c>
      <c r="M195" s="1" t="str">
        <f t="shared" si="37"/>
        <v>IBADAN</v>
      </c>
      <c r="Q195" s="1" t="s">
        <v>25</v>
      </c>
      <c r="S195" s="1" t="str">
        <f t="shared" si="39"/>
        <v>Coke</v>
      </c>
      <c r="U195" s="1" t="s">
        <v>35</v>
      </c>
      <c r="W195" s="1" t="str">
        <f t="shared" si="44"/>
        <v>Beverages</v>
      </c>
      <c r="Y195" s="16" t="s">
        <v>13</v>
      </c>
      <c r="AA195" s="1" t="s">
        <v>19</v>
      </c>
      <c r="AC195" s="5" t="str">
        <f t="shared" si="45"/>
        <v>BRENT PEREZ</v>
      </c>
      <c r="AE195" s="1" t="s">
        <v>426</v>
      </c>
    </row>
    <row r="196" spans="2:31" x14ac:dyDescent="0.25">
      <c r="B196" s="6">
        <v>195</v>
      </c>
      <c r="C196" s="3" t="s">
        <v>427</v>
      </c>
      <c r="D196" s="4" t="str">
        <f t="shared" si="38"/>
        <v>DANIEL WONG</v>
      </c>
      <c r="E196" s="6" t="str">
        <f t="shared" si="40"/>
        <v>MALE</v>
      </c>
      <c r="F196" s="6" t="str">
        <f t="shared" si="41"/>
        <v>PERSONAL CARE</v>
      </c>
      <c r="G196" s="6" t="str">
        <f t="shared" si="42"/>
        <v>HAND SANITIZER</v>
      </c>
      <c r="H196" s="8">
        <v>9</v>
      </c>
      <c r="I196" s="8">
        <v>681</v>
      </c>
      <c r="J196" s="8">
        <f t="shared" si="43"/>
        <v>6129</v>
      </c>
      <c r="K196" s="6" t="s">
        <v>15</v>
      </c>
      <c r="L196" s="9">
        <v>45811</v>
      </c>
      <c r="M196" s="1" t="str">
        <f t="shared" si="37"/>
        <v>ABUJA</v>
      </c>
      <c r="Q196" s="1" t="s">
        <v>58</v>
      </c>
      <c r="S196" s="1" t="str">
        <f t="shared" si="39"/>
        <v>Hand Sanitizer</v>
      </c>
      <c r="U196" s="1" t="s">
        <v>117</v>
      </c>
      <c r="W196" s="1" t="str">
        <f t="shared" si="44"/>
        <v>Personal Care</v>
      </c>
      <c r="Y196" s="16" t="s">
        <v>555</v>
      </c>
      <c r="AA196" s="1" t="s">
        <v>19</v>
      </c>
      <c r="AC196" s="5" t="str">
        <f t="shared" si="45"/>
        <v>DANIEL WONG</v>
      </c>
      <c r="AE196" s="1" t="s">
        <v>428</v>
      </c>
    </row>
    <row r="197" spans="2:31" x14ac:dyDescent="0.25">
      <c r="B197" s="6">
        <v>196</v>
      </c>
      <c r="C197" s="3" t="s">
        <v>429</v>
      </c>
      <c r="D197" s="4" t="str">
        <f t="shared" si="38"/>
        <v>MICHAEL EDWARDS</v>
      </c>
      <c r="E197" s="6" t="str">
        <f t="shared" si="40"/>
        <v>MALE</v>
      </c>
      <c r="F197" s="6" t="str">
        <f t="shared" si="41"/>
        <v>PERSONAL CARE</v>
      </c>
      <c r="G197" s="6" t="str">
        <f t="shared" si="42"/>
        <v>SHAMPOO</v>
      </c>
      <c r="H197" s="8">
        <v>8</v>
      </c>
      <c r="I197" s="8">
        <v>893</v>
      </c>
      <c r="J197" s="8">
        <f t="shared" si="43"/>
        <v>7144</v>
      </c>
      <c r="K197" s="6" t="s">
        <v>15</v>
      </c>
      <c r="L197" s="9">
        <v>45831</v>
      </c>
      <c r="M197" s="1" t="str">
        <f t="shared" si="37"/>
        <v>IBADAN</v>
      </c>
      <c r="Q197" s="1" t="s">
        <v>25</v>
      </c>
      <c r="S197" s="1" t="str">
        <f t="shared" si="39"/>
        <v>Shampoo</v>
      </c>
      <c r="U197" s="1" t="s">
        <v>38</v>
      </c>
      <c r="W197" s="1" t="str">
        <f t="shared" si="44"/>
        <v>Personal Care</v>
      </c>
      <c r="Y197" s="16" t="s">
        <v>555</v>
      </c>
      <c r="AA197" s="1" t="s">
        <v>19</v>
      </c>
      <c r="AC197" s="5" t="str">
        <f t="shared" si="45"/>
        <v>MICHAEL EDWARDS</v>
      </c>
      <c r="AE197" s="1" t="s">
        <v>430</v>
      </c>
    </row>
    <row r="198" spans="2:31" x14ac:dyDescent="0.25">
      <c r="B198" s="6">
        <v>197</v>
      </c>
      <c r="C198" s="3" t="s">
        <v>431</v>
      </c>
      <c r="D198" s="4" t="str">
        <f t="shared" si="38"/>
        <v>MORGAN HOGAN</v>
      </c>
      <c r="E198" s="6" t="str">
        <f t="shared" si="40"/>
        <v>FEMALE</v>
      </c>
      <c r="F198" s="6" t="str">
        <f t="shared" si="41"/>
        <v>SNACKS</v>
      </c>
      <c r="G198" s="6" t="str">
        <f t="shared" si="42"/>
        <v>GRANOLA BAR</v>
      </c>
      <c r="H198" s="8">
        <v>6</v>
      </c>
      <c r="I198" s="8">
        <v>594</v>
      </c>
      <c r="J198" s="8">
        <f t="shared" si="43"/>
        <v>3564</v>
      </c>
      <c r="K198" s="6" t="s">
        <v>20</v>
      </c>
      <c r="L198" s="9">
        <v>45822</v>
      </c>
      <c r="M198" s="1" t="str">
        <f t="shared" si="37"/>
        <v>ABUJA</v>
      </c>
      <c r="Q198" s="1" t="s">
        <v>58</v>
      </c>
      <c r="S198" s="1" t="str">
        <f t="shared" si="39"/>
        <v>Granola Bar</v>
      </c>
      <c r="U198" s="1" t="s">
        <v>92</v>
      </c>
      <c r="W198" s="1" t="str">
        <f t="shared" si="44"/>
        <v>Snacks</v>
      </c>
      <c r="Y198" s="16" t="s">
        <v>7</v>
      </c>
      <c r="AA198" s="1" t="s">
        <v>6</v>
      </c>
      <c r="AC198" s="5" t="str">
        <f t="shared" si="45"/>
        <v>MORGAN HOGAN</v>
      </c>
      <c r="AE198" s="1" t="s">
        <v>432</v>
      </c>
    </row>
    <row r="199" spans="2:31" x14ac:dyDescent="0.25">
      <c r="B199" s="6">
        <v>198</v>
      </c>
      <c r="C199" s="3" t="s">
        <v>433</v>
      </c>
      <c r="D199" s="4" t="str">
        <f t="shared" si="38"/>
        <v>GARY JORDAN</v>
      </c>
      <c r="E199" s="6" t="str">
        <f t="shared" si="40"/>
        <v>FEMALE</v>
      </c>
      <c r="F199" s="6" t="str">
        <f t="shared" si="41"/>
        <v>PERSONAL CARE</v>
      </c>
      <c r="G199" s="6" t="str">
        <f t="shared" si="42"/>
        <v>DEODORANT</v>
      </c>
      <c r="H199" s="8">
        <v>3</v>
      </c>
      <c r="I199" s="8">
        <v>138</v>
      </c>
      <c r="J199" s="8">
        <f t="shared" si="43"/>
        <v>414</v>
      </c>
      <c r="K199" s="6" t="s">
        <v>9</v>
      </c>
      <c r="L199" s="9">
        <v>45820</v>
      </c>
      <c r="M199" s="1" t="str">
        <f t="shared" si="37"/>
        <v>BENIN CITY</v>
      </c>
      <c r="Q199" s="1" t="s">
        <v>16</v>
      </c>
      <c r="S199" s="1" t="str">
        <f t="shared" si="39"/>
        <v>Deodorant</v>
      </c>
      <c r="U199" s="1" t="s">
        <v>159</v>
      </c>
      <c r="W199" s="1" t="str">
        <f t="shared" si="44"/>
        <v>Personal Care</v>
      </c>
      <c r="Y199" s="16" t="s">
        <v>555</v>
      </c>
      <c r="AA199" s="1" t="s">
        <v>6</v>
      </c>
      <c r="AC199" s="5" t="str">
        <f t="shared" si="45"/>
        <v>GARY JORDAN</v>
      </c>
      <c r="AE199" s="1" t="s">
        <v>434</v>
      </c>
    </row>
    <row r="200" spans="2:31" x14ac:dyDescent="0.25">
      <c r="B200" s="6">
        <v>199</v>
      </c>
      <c r="C200" s="3" t="s">
        <v>435</v>
      </c>
      <c r="D200" s="4" t="str">
        <f t="shared" si="38"/>
        <v>JOSHUA MURPHY</v>
      </c>
      <c r="E200" s="6" t="str">
        <f t="shared" si="40"/>
        <v>MALE</v>
      </c>
      <c r="F200" s="6" t="str">
        <f t="shared" si="41"/>
        <v>PERSONAL CARE</v>
      </c>
      <c r="G200" s="6" t="str">
        <f t="shared" si="42"/>
        <v>HAND SANITIZER</v>
      </c>
      <c r="H200" s="8">
        <v>9</v>
      </c>
      <c r="I200" s="8">
        <v>598</v>
      </c>
      <c r="J200" s="8">
        <f t="shared" si="43"/>
        <v>5382</v>
      </c>
      <c r="K200" s="6" t="s">
        <v>9</v>
      </c>
      <c r="L200" s="9">
        <v>45830</v>
      </c>
      <c r="M200" s="1" t="s">
        <v>533</v>
      </c>
      <c r="Q200" s="1"/>
      <c r="S200" s="1" t="str">
        <f t="shared" si="39"/>
        <v>Hand Sanitizer</v>
      </c>
      <c r="U200" s="1" t="s">
        <v>117</v>
      </c>
      <c r="W200" s="1" t="str">
        <f t="shared" si="44"/>
        <v>Personal Care</v>
      </c>
      <c r="Y200" s="16" t="s">
        <v>555</v>
      </c>
      <c r="AA200" s="1" t="s">
        <v>19</v>
      </c>
      <c r="AC200" s="5" t="str">
        <f t="shared" si="45"/>
        <v>JOSHUA MURPHY</v>
      </c>
      <c r="AE200" s="1" t="s">
        <v>436</v>
      </c>
    </row>
    <row r="201" spans="2:31" x14ac:dyDescent="0.25">
      <c r="B201" s="6">
        <v>200</v>
      </c>
      <c r="C201" s="3" t="s">
        <v>437</v>
      </c>
      <c r="D201" s="4" t="str">
        <f t="shared" si="38"/>
        <v>AMY SUAREZ</v>
      </c>
      <c r="E201" s="6" t="str">
        <f t="shared" si="40"/>
        <v>MALE</v>
      </c>
      <c r="F201" s="6" t="str">
        <f t="shared" si="41"/>
        <v>HOUSEHOLD</v>
      </c>
      <c r="G201" s="6" t="str">
        <f t="shared" si="42"/>
        <v>BLEACH</v>
      </c>
      <c r="H201" s="8">
        <v>3</v>
      </c>
      <c r="I201" s="8">
        <v>162</v>
      </c>
      <c r="J201" s="8">
        <f t="shared" si="43"/>
        <v>486</v>
      </c>
      <c r="K201" s="6" t="s">
        <v>20</v>
      </c>
      <c r="L201" s="9">
        <v>45816</v>
      </c>
      <c r="M201" s="1" t="str">
        <f t="shared" ref="M201:M232" si="46">UPPER(Q201)</f>
        <v>LAGOS</v>
      </c>
      <c r="Q201" s="1" t="s">
        <v>29</v>
      </c>
      <c r="S201" s="1" t="str">
        <f t="shared" si="39"/>
        <v>Bleach</v>
      </c>
      <c r="U201" s="1" t="s">
        <v>134</v>
      </c>
      <c r="W201" s="1" t="str">
        <f t="shared" si="44"/>
        <v>Household</v>
      </c>
      <c r="Y201" s="16" t="s">
        <v>24</v>
      </c>
      <c r="AA201" s="1" t="s">
        <v>19</v>
      </c>
      <c r="AC201" s="5" t="str">
        <f t="shared" si="45"/>
        <v>AMY SUAREZ</v>
      </c>
      <c r="AE201" s="1" t="s">
        <v>438</v>
      </c>
    </row>
    <row r="202" spans="2:31" x14ac:dyDescent="0.25">
      <c r="B202" s="6">
        <v>201</v>
      </c>
      <c r="C202" s="3" t="s">
        <v>439</v>
      </c>
      <c r="D202" s="4" t="str">
        <f t="shared" si="38"/>
        <v>STEPHANIE JOSEPH</v>
      </c>
      <c r="E202" s="6" t="str">
        <f t="shared" si="40"/>
        <v>FEMALE</v>
      </c>
      <c r="F202" s="6" t="str">
        <f t="shared" si="41"/>
        <v>BEVERAGES</v>
      </c>
      <c r="G202" s="6" t="str">
        <f t="shared" si="42"/>
        <v>FANTA</v>
      </c>
      <c r="H202" s="8">
        <v>6</v>
      </c>
      <c r="I202" s="8">
        <v>818</v>
      </c>
      <c r="J202" s="8">
        <f t="shared" si="43"/>
        <v>4908</v>
      </c>
      <c r="K202" s="6" t="s">
        <v>20</v>
      </c>
      <c r="L202" s="9">
        <v>45816</v>
      </c>
      <c r="M202" s="1" t="str">
        <f t="shared" si="46"/>
        <v>BENIN CITY</v>
      </c>
      <c r="Q202" s="1" t="s">
        <v>16</v>
      </c>
      <c r="S202" s="1" t="str">
        <f t="shared" si="39"/>
        <v>Fanta</v>
      </c>
      <c r="U202" s="1" t="s">
        <v>14</v>
      </c>
      <c r="W202" s="1" t="str">
        <f t="shared" si="44"/>
        <v>Beverages</v>
      </c>
      <c r="Y202" s="16" t="s">
        <v>13</v>
      </c>
      <c r="AA202" s="1" t="s">
        <v>6</v>
      </c>
      <c r="AC202" s="5" t="str">
        <f t="shared" si="45"/>
        <v>STEPHANIE JOSEPH</v>
      </c>
      <c r="AE202" s="1" t="s">
        <v>440</v>
      </c>
    </row>
    <row r="203" spans="2:31" x14ac:dyDescent="0.25">
      <c r="B203" s="6">
        <v>202</v>
      </c>
      <c r="C203" s="3" t="s">
        <v>441</v>
      </c>
      <c r="D203" s="4" t="str">
        <f t="shared" si="38"/>
        <v>TINA GONZALEZ</v>
      </c>
      <c r="E203" s="6" t="str">
        <f t="shared" si="40"/>
        <v>MALE</v>
      </c>
      <c r="F203" s="6" t="str">
        <f t="shared" si="41"/>
        <v>HOUSEHOLD</v>
      </c>
      <c r="G203" s="6" t="str">
        <f t="shared" si="42"/>
        <v>BLEACH</v>
      </c>
      <c r="H203" s="8">
        <v>4</v>
      </c>
      <c r="I203" s="8">
        <v>273</v>
      </c>
      <c r="J203" s="8">
        <f t="shared" si="43"/>
        <v>1092</v>
      </c>
      <c r="K203" s="6" t="s">
        <v>20</v>
      </c>
      <c r="L203" s="9">
        <v>45839</v>
      </c>
      <c r="M203" s="1" t="str">
        <f t="shared" si="46"/>
        <v>KANO</v>
      </c>
      <c r="Q203" s="1" t="s">
        <v>72</v>
      </c>
      <c r="S203" s="1" t="str">
        <f t="shared" si="39"/>
        <v>Bleach</v>
      </c>
      <c r="U203" s="1" t="s">
        <v>134</v>
      </c>
      <c r="W203" s="1" t="str">
        <f t="shared" si="44"/>
        <v>Household</v>
      </c>
      <c r="Y203" s="16" t="s">
        <v>24</v>
      </c>
      <c r="AA203" s="1" t="s">
        <v>19</v>
      </c>
      <c r="AC203" s="5" t="str">
        <f t="shared" si="45"/>
        <v>TINA GONZALEZ</v>
      </c>
      <c r="AE203" s="1" t="s">
        <v>442</v>
      </c>
    </row>
    <row r="204" spans="2:31" x14ac:dyDescent="0.25">
      <c r="B204" s="6">
        <v>203</v>
      </c>
      <c r="C204" s="3" t="s">
        <v>443</v>
      </c>
      <c r="D204" s="4" t="str">
        <f t="shared" si="38"/>
        <v>TIMOTHY CHANDLER</v>
      </c>
      <c r="E204" s="6" t="str">
        <f t="shared" si="40"/>
        <v>FEMALE</v>
      </c>
      <c r="F204" s="6" t="str">
        <f t="shared" si="41"/>
        <v>PERSONAL CARE</v>
      </c>
      <c r="G204" s="6" t="str">
        <f t="shared" si="42"/>
        <v>DEODORANT</v>
      </c>
      <c r="H204" s="8">
        <v>7</v>
      </c>
      <c r="I204" s="8">
        <v>168</v>
      </c>
      <c r="J204" s="8">
        <f t="shared" si="43"/>
        <v>1176</v>
      </c>
      <c r="K204" s="6" t="s">
        <v>42</v>
      </c>
      <c r="L204" s="9">
        <v>45815</v>
      </c>
      <c r="M204" s="1" t="str">
        <f t="shared" si="46"/>
        <v>PORT HARCOURT</v>
      </c>
      <c r="Q204" s="1" t="s">
        <v>10</v>
      </c>
      <c r="S204" s="1" t="str">
        <f t="shared" si="39"/>
        <v>Deodorant</v>
      </c>
      <c r="U204" s="1" t="s">
        <v>159</v>
      </c>
      <c r="W204" s="1" t="str">
        <f t="shared" si="44"/>
        <v>Personal Care</v>
      </c>
      <c r="Y204" s="16" t="s">
        <v>555</v>
      </c>
      <c r="AA204" s="1" t="s">
        <v>6</v>
      </c>
      <c r="AC204" s="5" t="str">
        <f t="shared" si="45"/>
        <v>TIMOTHY CHANDLER</v>
      </c>
      <c r="AE204" s="1" t="s">
        <v>444</v>
      </c>
    </row>
    <row r="205" spans="2:31" x14ac:dyDescent="0.25">
      <c r="B205" s="6">
        <v>204</v>
      </c>
      <c r="C205" s="3" t="s">
        <v>445</v>
      </c>
      <c r="D205" s="4" t="str">
        <f t="shared" si="38"/>
        <v>SARAH CASTILLO</v>
      </c>
      <c r="E205" s="6" t="str">
        <f t="shared" si="40"/>
        <v>MALE</v>
      </c>
      <c r="F205" s="6" t="str">
        <f t="shared" si="41"/>
        <v>BEVERAGES</v>
      </c>
      <c r="G205" s="6" t="str">
        <f t="shared" si="42"/>
        <v>WATER</v>
      </c>
      <c r="H205" s="8">
        <v>4</v>
      </c>
      <c r="I205" s="8">
        <v>400</v>
      </c>
      <c r="J205" s="8">
        <f t="shared" si="43"/>
        <v>1600</v>
      </c>
      <c r="K205" s="6" t="s">
        <v>42</v>
      </c>
      <c r="L205" s="9">
        <v>45830</v>
      </c>
      <c r="M205" s="1" t="str">
        <f t="shared" si="46"/>
        <v>LAGOS</v>
      </c>
      <c r="Q205" s="1" t="s">
        <v>29</v>
      </c>
      <c r="S205" s="1" t="str">
        <f t="shared" si="39"/>
        <v>Water</v>
      </c>
      <c r="U205" s="1" t="s">
        <v>106</v>
      </c>
      <c r="W205" s="1" t="str">
        <f t="shared" si="44"/>
        <v>Beverages</v>
      </c>
      <c r="Y205" s="16" t="s">
        <v>13</v>
      </c>
      <c r="AA205" s="1" t="s">
        <v>19</v>
      </c>
      <c r="AC205" s="5" t="str">
        <f t="shared" si="45"/>
        <v xml:space="preserve">  SARAH CASTILLO  </v>
      </c>
      <c r="AE205" s="1" t="s">
        <v>446</v>
      </c>
    </row>
    <row r="206" spans="2:31" x14ac:dyDescent="0.25">
      <c r="B206" s="6">
        <v>205</v>
      </c>
      <c r="C206" s="3" t="s">
        <v>447</v>
      </c>
      <c r="D206" s="4" t="str">
        <f t="shared" si="38"/>
        <v>KELSEY SCHAEFER</v>
      </c>
      <c r="E206" s="6" t="str">
        <f t="shared" si="40"/>
        <v>MALE</v>
      </c>
      <c r="F206" s="6" t="str">
        <f t="shared" si="41"/>
        <v>HOUSEHOLD</v>
      </c>
      <c r="G206" s="6" t="str">
        <f t="shared" si="42"/>
        <v>SOAP</v>
      </c>
      <c r="H206" s="8">
        <v>7</v>
      </c>
      <c r="I206" s="8">
        <v>906</v>
      </c>
      <c r="J206" s="8">
        <f t="shared" si="43"/>
        <v>6342</v>
      </c>
      <c r="K206" s="6" t="s">
        <v>20</v>
      </c>
      <c r="L206" s="9">
        <v>45830</v>
      </c>
      <c r="M206" s="1" t="str">
        <f t="shared" si="46"/>
        <v>ABUJA</v>
      </c>
      <c r="Q206" s="1" t="s">
        <v>58</v>
      </c>
      <c r="S206" s="1" t="str">
        <f t="shared" si="39"/>
        <v>Soap</v>
      </c>
      <c r="U206" s="1" t="s">
        <v>32</v>
      </c>
      <c r="W206" s="1" t="str">
        <f t="shared" si="44"/>
        <v>Household</v>
      </c>
      <c r="Y206" s="16" t="s">
        <v>24</v>
      </c>
      <c r="AA206" s="1" t="s">
        <v>19</v>
      </c>
      <c r="AC206" s="5" t="str">
        <f t="shared" si="45"/>
        <v>KELSEY SCHAEFER</v>
      </c>
      <c r="AE206" s="1" t="s">
        <v>448</v>
      </c>
    </row>
    <row r="207" spans="2:31" x14ac:dyDescent="0.25">
      <c r="B207" s="6">
        <v>206</v>
      </c>
      <c r="C207" s="3" t="s">
        <v>449</v>
      </c>
      <c r="D207" s="4" t="str">
        <f t="shared" si="38"/>
        <v>NICHOLAS BRADY</v>
      </c>
      <c r="E207" s="6" t="str">
        <f t="shared" si="40"/>
        <v>FEMALE</v>
      </c>
      <c r="F207" s="6" t="str">
        <f t="shared" si="41"/>
        <v>BEVERAGES</v>
      </c>
      <c r="G207" s="6" t="str">
        <f t="shared" si="42"/>
        <v>WATER</v>
      </c>
      <c r="H207" s="8">
        <v>7</v>
      </c>
      <c r="I207" s="8">
        <v>875</v>
      </c>
      <c r="J207" s="8">
        <f t="shared" si="43"/>
        <v>6125</v>
      </c>
      <c r="K207" s="6" t="s">
        <v>42</v>
      </c>
      <c r="L207" s="9">
        <v>45835</v>
      </c>
      <c r="M207" s="1" t="str">
        <f t="shared" si="46"/>
        <v>BENIN CITY</v>
      </c>
      <c r="Q207" s="1" t="s">
        <v>16</v>
      </c>
      <c r="S207" s="1" t="str">
        <f t="shared" si="39"/>
        <v>Water</v>
      </c>
      <c r="U207" s="1" t="s">
        <v>106</v>
      </c>
      <c r="W207" s="1" t="str">
        <f t="shared" si="44"/>
        <v>Beverages</v>
      </c>
      <c r="Y207" s="16" t="s">
        <v>13</v>
      </c>
      <c r="AA207" s="1" t="s">
        <v>6</v>
      </c>
      <c r="AC207" s="5" t="str">
        <f t="shared" si="45"/>
        <v>NICHOLAS BRADY</v>
      </c>
      <c r="AE207" s="1" t="s">
        <v>450</v>
      </c>
    </row>
    <row r="208" spans="2:31" x14ac:dyDescent="0.25">
      <c r="B208" s="6">
        <v>207</v>
      </c>
      <c r="C208" s="3" t="s">
        <v>451</v>
      </c>
      <c r="D208" s="4" t="str">
        <f t="shared" si="38"/>
        <v>ERIC LARSON</v>
      </c>
      <c r="E208" s="6" t="str">
        <f t="shared" si="40"/>
        <v>MALE</v>
      </c>
      <c r="F208" s="6" t="str">
        <f t="shared" si="41"/>
        <v>SNACKS</v>
      </c>
      <c r="G208" s="6" t="str">
        <f t="shared" si="42"/>
        <v>GRANOLA BAR</v>
      </c>
      <c r="H208" s="8">
        <v>8</v>
      </c>
      <c r="I208" s="8">
        <v>76</v>
      </c>
      <c r="J208" s="8">
        <f t="shared" si="43"/>
        <v>608</v>
      </c>
      <c r="K208" s="6" t="s">
        <v>20</v>
      </c>
      <c r="L208" s="9">
        <v>45814</v>
      </c>
      <c r="M208" s="1" t="str">
        <f t="shared" si="46"/>
        <v>LAGOS</v>
      </c>
      <c r="Q208" s="1" t="s">
        <v>29</v>
      </c>
      <c r="S208" s="1" t="str">
        <f t="shared" si="39"/>
        <v>Granola Bar</v>
      </c>
      <c r="U208" s="1" t="s">
        <v>92</v>
      </c>
      <c r="W208" s="1" t="str">
        <f t="shared" si="44"/>
        <v>Snacks</v>
      </c>
      <c r="Y208" s="16" t="s">
        <v>7</v>
      </c>
      <c r="AA208" s="1" t="s">
        <v>19</v>
      </c>
      <c r="AC208" s="5" t="str">
        <f t="shared" si="45"/>
        <v>ERIC LARSON</v>
      </c>
      <c r="AE208" s="1" t="s">
        <v>452</v>
      </c>
    </row>
    <row r="209" spans="2:31" x14ac:dyDescent="0.25">
      <c r="B209" s="6">
        <v>208</v>
      </c>
      <c r="C209" s="3" t="s">
        <v>453</v>
      </c>
      <c r="D209" s="4" t="str">
        <f t="shared" si="38"/>
        <v>JONATHAN VARGAS</v>
      </c>
      <c r="E209" s="6" t="str">
        <f t="shared" si="40"/>
        <v>MALE</v>
      </c>
      <c r="F209" s="6" t="str">
        <f t="shared" si="41"/>
        <v>BEVERAGES</v>
      </c>
      <c r="G209" s="6" t="str">
        <f t="shared" si="42"/>
        <v>JUICE</v>
      </c>
      <c r="H209" s="8">
        <v>3</v>
      </c>
      <c r="I209" s="8">
        <v>132</v>
      </c>
      <c r="J209" s="8">
        <f t="shared" si="43"/>
        <v>396</v>
      </c>
      <c r="K209" s="6" t="s">
        <v>9</v>
      </c>
      <c r="L209" s="9">
        <v>45838</v>
      </c>
      <c r="M209" s="1" t="str">
        <f t="shared" si="46"/>
        <v>KANO</v>
      </c>
      <c r="Q209" s="1" t="s">
        <v>72</v>
      </c>
      <c r="S209" s="1" t="str">
        <f t="shared" si="39"/>
        <v>Juice</v>
      </c>
      <c r="U209" s="1" t="s">
        <v>68</v>
      </c>
      <c r="W209" s="1" t="str">
        <f t="shared" si="44"/>
        <v>Beverages</v>
      </c>
      <c r="Y209" s="16" t="s">
        <v>13</v>
      </c>
      <c r="AA209" s="1" t="s">
        <v>19</v>
      </c>
      <c r="AC209" s="5" t="str">
        <f t="shared" si="45"/>
        <v>JONATHAN VARGAS</v>
      </c>
      <c r="AE209" s="1" t="s">
        <v>454</v>
      </c>
    </row>
    <row r="210" spans="2:31" x14ac:dyDescent="0.25">
      <c r="B210" s="6">
        <v>209</v>
      </c>
      <c r="C210" s="3" t="s">
        <v>455</v>
      </c>
      <c r="D210" s="4" t="str">
        <f t="shared" si="38"/>
        <v>DONNA KOCH</v>
      </c>
      <c r="E210" s="6" t="str">
        <f t="shared" si="40"/>
        <v>FEMALE</v>
      </c>
      <c r="F210" s="6" t="str">
        <f t="shared" si="41"/>
        <v>PERSONAL CARE</v>
      </c>
      <c r="G210" s="6" t="str">
        <f t="shared" si="42"/>
        <v>LOTION</v>
      </c>
      <c r="H210" s="8">
        <v>8</v>
      </c>
      <c r="I210" s="8">
        <v>539</v>
      </c>
      <c r="J210" s="8">
        <f t="shared" si="43"/>
        <v>4312</v>
      </c>
      <c r="K210" s="6" t="s">
        <v>42</v>
      </c>
      <c r="L210" s="9">
        <v>45825</v>
      </c>
      <c r="M210" s="1" t="str">
        <f t="shared" si="46"/>
        <v>LAGOS</v>
      </c>
      <c r="Q210" s="1" t="s">
        <v>29</v>
      </c>
      <c r="S210" s="1" t="str">
        <f t="shared" si="39"/>
        <v>Lotion</v>
      </c>
      <c r="U210" s="1" t="s">
        <v>49</v>
      </c>
      <c r="W210" s="1" t="str">
        <f t="shared" si="44"/>
        <v>Personal Care</v>
      </c>
      <c r="Y210" s="16" t="s">
        <v>555</v>
      </c>
      <c r="AA210" s="1" t="s">
        <v>6</v>
      </c>
      <c r="AC210" s="5" t="str">
        <f t="shared" si="45"/>
        <v>DONNA KOCH</v>
      </c>
      <c r="AE210" s="1" t="s">
        <v>456</v>
      </c>
    </row>
    <row r="211" spans="2:31" x14ac:dyDescent="0.25">
      <c r="B211" s="6">
        <v>210</v>
      </c>
      <c r="C211" s="3" t="s">
        <v>457</v>
      </c>
      <c r="D211" s="4" t="str">
        <f t="shared" ref="D211:D243" si="47">TRIM(AC211)</f>
        <v>MARK SANTIAGO</v>
      </c>
      <c r="E211" s="6" t="str">
        <f t="shared" si="40"/>
        <v>FEMALE</v>
      </c>
      <c r="F211" s="6" t="str">
        <f t="shared" si="41"/>
        <v>BEVERAGES</v>
      </c>
      <c r="G211" s="6" t="str">
        <f t="shared" si="42"/>
        <v>WATER</v>
      </c>
      <c r="H211" s="8">
        <v>7</v>
      </c>
      <c r="I211" s="8">
        <v>327</v>
      </c>
      <c r="J211" s="8">
        <f t="shared" si="43"/>
        <v>2289</v>
      </c>
      <c r="K211" s="6" t="s">
        <v>9</v>
      </c>
      <c r="L211" s="9">
        <v>45837</v>
      </c>
      <c r="M211" s="1" t="str">
        <f t="shared" si="46"/>
        <v>PORT HARCOURT</v>
      </c>
      <c r="Q211" s="1" t="s">
        <v>10</v>
      </c>
      <c r="S211" s="1" t="str">
        <f t="shared" si="39"/>
        <v>Water</v>
      </c>
      <c r="U211" s="1" t="s">
        <v>106</v>
      </c>
      <c r="W211" s="1" t="str">
        <f t="shared" si="44"/>
        <v>Beverages</v>
      </c>
      <c r="Y211" s="16" t="s">
        <v>13</v>
      </c>
      <c r="AA211" s="1" t="s">
        <v>6</v>
      </c>
      <c r="AC211" s="5" t="str">
        <f t="shared" si="45"/>
        <v>MARK SANTIAGO</v>
      </c>
      <c r="AE211" s="1" t="s">
        <v>458</v>
      </c>
    </row>
    <row r="212" spans="2:31" x14ac:dyDescent="0.25">
      <c r="B212" s="6">
        <v>211</v>
      </c>
      <c r="C212" s="3" t="s">
        <v>459</v>
      </c>
      <c r="D212" s="4" t="str">
        <f t="shared" si="47"/>
        <v>ROBERT DIAZ</v>
      </c>
      <c r="E212" s="6" t="str">
        <f t="shared" si="40"/>
        <v>FEMALE</v>
      </c>
      <c r="F212" s="6" t="str">
        <f t="shared" si="41"/>
        <v>SNACKS</v>
      </c>
      <c r="G212" s="6" t="str">
        <f t="shared" si="42"/>
        <v>GRANOLA BAR</v>
      </c>
      <c r="H212" s="8">
        <v>9</v>
      </c>
      <c r="I212" s="8">
        <v>222</v>
      </c>
      <c r="J212" s="8">
        <f t="shared" si="43"/>
        <v>1998</v>
      </c>
      <c r="K212" s="6" t="s">
        <v>42</v>
      </c>
      <c r="L212" s="9">
        <v>45812</v>
      </c>
      <c r="M212" s="1" t="str">
        <f t="shared" si="46"/>
        <v>ABUJA</v>
      </c>
      <c r="Q212" s="1" t="s">
        <v>58</v>
      </c>
      <c r="S212" s="1" t="str">
        <f t="shared" si="39"/>
        <v>Granola Bar</v>
      </c>
      <c r="U212" s="1" t="s">
        <v>92</v>
      </c>
      <c r="W212" s="1" t="str">
        <f t="shared" si="44"/>
        <v>Snacks</v>
      </c>
      <c r="Y212" s="16" t="s">
        <v>7</v>
      </c>
      <c r="AA212" s="1" t="s">
        <v>6</v>
      </c>
      <c r="AC212" s="5" t="str">
        <f t="shared" si="45"/>
        <v>ROBERT DIAZ</v>
      </c>
      <c r="AE212" s="1" t="s">
        <v>460</v>
      </c>
    </row>
    <row r="213" spans="2:31" x14ac:dyDescent="0.25">
      <c r="B213" s="6">
        <v>212</v>
      </c>
      <c r="C213" s="3" t="s">
        <v>461</v>
      </c>
      <c r="D213" s="4" t="str">
        <f t="shared" si="47"/>
        <v>JOHN WRIGHT</v>
      </c>
      <c r="E213" s="6" t="str">
        <f t="shared" si="40"/>
        <v>FEMALE</v>
      </c>
      <c r="F213" s="6" t="str">
        <f t="shared" si="41"/>
        <v>HOUSEHOLD</v>
      </c>
      <c r="G213" s="6" t="str">
        <f t="shared" si="42"/>
        <v>AIR FRESHENER</v>
      </c>
      <c r="H213" s="8">
        <v>4</v>
      </c>
      <c r="I213" s="8">
        <v>289</v>
      </c>
      <c r="J213" s="8">
        <f t="shared" si="43"/>
        <v>1156</v>
      </c>
      <c r="K213" s="6" t="s">
        <v>20</v>
      </c>
      <c r="L213" s="9">
        <v>45819</v>
      </c>
      <c r="M213" s="1" t="str">
        <f t="shared" si="46"/>
        <v>PORT HARCOURT</v>
      </c>
      <c r="Q213" s="1" t="s">
        <v>10</v>
      </c>
      <c r="S213" s="1" t="str">
        <f t="shared" si="39"/>
        <v>Air Freshener</v>
      </c>
      <c r="U213" s="1" t="s">
        <v>55</v>
      </c>
      <c r="W213" s="1" t="str">
        <f t="shared" si="44"/>
        <v>Household</v>
      </c>
      <c r="Y213" s="16" t="s">
        <v>24</v>
      </c>
      <c r="AA213" s="1" t="s">
        <v>6</v>
      </c>
      <c r="AC213" s="5" t="str">
        <f t="shared" si="45"/>
        <v>JOHN WRIGHT</v>
      </c>
      <c r="AE213" s="1" t="s">
        <v>462</v>
      </c>
    </row>
    <row r="214" spans="2:31" x14ac:dyDescent="0.25">
      <c r="B214" s="6">
        <v>213</v>
      </c>
      <c r="C214" s="3" t="s">
        <v>463</v>
      </c>
      <c r="D214" s="4" t="str">
        <f t="shared" si="47"/>
        <v>DAVID BLAIR</v>
      </c>
      <c r="E214" s="6" t="str">
        <f t="shared" si="40"/>
        <v>MALE</v>
      </c>
      <c r="F214" s="6" t="str">
        <f t="shared" si="41"/>
        <v>SNACKS</v>
      </c>
      <c r="G214" s="6" t="str">
        <f t="shared" si="42"/>
        <v>CHIPS</v>
      </c>
      <c r="H214" s="8">
        <v>1</v>
      </c>
      <c r="I214" s="8">
        <v>624</v>
      </c>
      <c r="J214" s="8">
        <f t="shared" si="43"/>
        <v>624</v>
      </c>
      <c r="K214" s="6" t="s">
        <v>9</v>
      </c>
      <c r="L214" s="9">
        <v>45820</v>
      </c>
      <c r="M214" s="1" t="str">
        <f t="shared" si="46"/>
        <v>ABUJA</v>
      </c>
      <c r="Q214" s="1" t="s">
        <v>58</v>
      </c>
      <c r="S214" s="1" t="str">
        <f t="shared" si="39"/>
        <v>Chips</v>
      </c>
      <c r="U214" s="1" t="s">
        <v>103</v>
      </c>
      <c r="W214" s="1" t="str">
        <f t="shared" si="44"/>
        <v>Snacks</v>
      </c>
      <c r="Y214" s="16" t="s">
        <v>7</v>
      </c>
      <c r="AA214" s="1" t="s">
        <v>19</v>
      </c>
      <c r="AC214" s="5" t="str">
        <f t="shared" si="45"/>
        <v>DAVID BLAIR</v>
      </c>
      <c r="AE214" s="1" t="s">
        <v>464</v>
      </c>
    </row>
    <row r="215" spans="2:31" x14ac:dyDescent="0.25">
      <c r="B215" s="6">
        <v>214</v>
      </c>
      <c r="C215" s="3" t="s">
        <v>465</v>
      </c>
      <c r="D215" s="4" t="str">
        <f t="shared" si="47"/>
        <v>JOHN THORNTON</v>
      </c>
      <c r="E215" s="6" t="str">
        <f t="shared" si="40"/>
        <v>MALE</v>
      </c>
      <c r="F215" s="6" t="str">
        <f t="shared" si="41"/>
        <v>HOUSEHOLD</v>
      </c>
      <c r="G215" s="6" t="str">
        <f t="shared" si="42"/>
        <v>DETERGENT</v>
      </c>
      <c r="H215" s="8">
        <v>7</v>
      </c>
      <c r="I215" s="8">
        <v>196</v>
      </c>
      <c r="J215" s="8">
        <f t="shared" si="43"/>
        <v>1372</v>
      </c>
      <c r="K215" s="6" t="s">
        <v>9</v>
      </c>
      <c r="L215" s="9">
        <v>45839</v>
      </c>
      <c r="M215" s="1" t="str">
        <f t="shared" si="46"/>
        <v>LAGOS</v>
      </c>
      <c r="Q215" s="1" t="s">
        <v>29</v>
      </c>
      <c r="S215" s="1" t="str">
        <f t="shared" si="39"/>
        <v>Detergent</v>
      </c>
      <c r="U215" s="1" t="s">
        <v>63</v>
      </c>
      <c r="W215" s="1" t="str">
        <f t="shared" si="44"/>
        <v>Household</v>
      </c>
      <c r="Y215" s="16" t="s">
        <v>24</v>
      </c>
      <c r="AA215" s="1" t="s">
        <v>19</v>
      </c>
      <c r="AC215" s="5" t="str">
        <f t="shared" si="45"/>
        <v>JOHN THORNTON</v>
      </c>
      <c r="AE215" s="1" t="s">
        <v>466</v>
      </c>
    </row>
    <row r="216" spans="2:31" x14ac:dyDescent="0.25">
      <c r="B216" s="6">
        <v>215</v>
      </c>
      <c r="C216" s="3" t="s">
        <v>467</v>
      </c>
      <c r="D216" s="4" t="str">
        <f t="shared" si="47"/>
        <v>ERIN JENNINGS</v>
      </c>
      <c r="E216" s="6" t="str">
        <f t="shared" si="40"/>
        <v>MALE</v>
      </c>
      <c r="F216" s="6" t="str">
        <f t="shared" si="41"/>
        <v>HOUSEHOLD</v>
      </c>
      <c r="G216" s="6" t="str">
        <f t="shared" si="42"/>
        <v>AIR FRESHENER</v>
      </c>
      <c r="H216" s="8">
        <v>10</v>
      </c>
      <c r="I216" s="8">
        <v>395</v>
      </c>
      <c r="J216" s="8">
        <f t="shared" si="43"/>
        <v>3950</v>
      </c>
      <c r="K216" s="6" t="s">
        <v>42</v>
      </c>
      <c r="L216" s="9">
        <v>45815</v>
      </c>
      <c r="M216" s="1" t="str">
        <f t="shared" si="46"/>
        <v>ABUJA</v>
      </c>
      <c r="Q216" s="1" t="s">
        <v>58</v>
      </c>
      <c r="S216" s="1" t="str">
        <f t="shared" si="39"/>
        <v>Air Freshener</v>
      </c>
      <c r="U216" s="1" t="s">
        <v>55</v>
      </c>
      <c r="W216" s="1" t="str">
        <f t="shared" si="44"/>
        <v>Household</v>
      </c>
      <c r="Y216" s="16" t="s">
        <v>24</v>
      </c>
      <c r="AA216" s="1" t="s">
        <v>19</v>
      </c>
      <c r="AC216" s="5" t="str">
        <f t="shared" si="45"/>
        <v>ERIN JENNINGS</v>
      </c>
      <c r="AE216" s="1" t="s">
        <v>468</v>
      </c>
    </row>
    <row r="217" spans="2:31" x14ac:dyDescent="0.25">
      <c r="B217" s="6">
        <v>216</v>
      </c>
      <c r="C217" s="3" t="s">
        <v>469</v>
      </c>
      <c r="D217" s="4" t="str">
        <f t="shared" si="47"/>
        <v>BRIANNA ROMERO</v>
      </c>
      <c r="E217" s="6" t="str">
        <f t="shared" si="40"/>
        <v>FEMALE</v>
      </c>
      <c r="F217" s="6" t="str">
        <f t="shared" si="41"/>
        <v>PERSONAL CARE</v>
      </c>
      <c r="G217" s="6" t="str">
        <f t="shared" si="42"/>
        <v>SHAMPOO</v>
      </c>
      <c r="H217" s="8">
        <v>10</v>
      </c>
      <c r="I217" s="8">
        <v>190</v>
      </c>
      <c r="J217" s="8">
        <f t="shared" si="43"/>
        <v>1900</v>
      </c>
      <c r="K217" s="6" t="s">
        <v>9</v>
      </c>
      <c r="L217" s="9">
        <v>45835</v>
      </c>
      <c r="M217" s="1" t="str">
        <f t="shared" si="46"/>
        <v>IBADAN</v>
      </c>
      <c r="Q217" s="1" t="s">
        <v>25</v>
      </c>
      <c r="S217" s="1" t="str">
        <f t="shared" si="39"/>
        <v>Shampoo</v>
      </c>
      <c r="U217" s="1" t="s">
        <v>38</v>
      </c>
      <c r="W217" s="1" t="str">
        <f t="shared" si="44"/>
        <v>Personal Care</v>
      </c>
      <c r="Y217" s="16" t="s">
        <v>555</v>
      </c>
      <c r="AA217" s="1" t="s">
        <v>6</v>
      </c>
      <c r="AC217" s="5" t="str">
        <f t="shared" si="45"/>
        <v>BRIANNA ROMERO</v>
      </c>
      <c r="AE217" s="1" t="s">
        <v>470</v>
      </c>
    </row>
    <row r="218" spans="2:31" x14ac:dyDescent="0.25">
      <c r="B218" s="6">
        <v>217</v>
      </c>
      <c r="C218" s="3" t="s">
        <v>471</v>
      </c>
      <c r="D218" s="4" t="str">
        <f t="shared" si="47"/>
        <v>KIM BERGER MD</v>
      </c>
      <c r="E218" s="6" t="str">
        <f t="shared" si="40"/>
        <v>FEMALE</v>
      </c>
      <c r="F218" s="6" t="str">
        <f t="shared" si="41"/>
        <v>HOUSEHOLD</v>
      </c>
      <c r="G218" s="6" t="str">
        <f t="shared" si="42"/>
        <v>BLEACH</v>
      </c>
      <c r="H218" s="8">
        <v>8</v>
      </c>
      <c r="I218" s="8">
        <v>319</v>
      </c>
      <c r="J218" s="8">
        <f t="shared" si="43"/>
        <v>2552</v>
      </c>
      <c r="K218" s="6" t="s">
        <v>42</v>
      </c>
      <c r="L218" s="9">
        <v>45822</v>
      </c>
      <c r="M218" s="1" t="str">
        <f t="shared" si="46"/>
        <v>ABUJA</v>
      </c>
      <c r="Q218" s="1" t="s">
        <v>58</v>
      </c>
      <c r="S218" s="1" t="str">
        <f t="shared" si="39"/>
        <v>Bleach</v>
      </c>
      <c r="U218" s="1" t="s">
        <v>134</v>
      </c>
      <c r="W218" s="1" t="str">
        <f t="shared" si="44"/>
        <v>Household</v>
      </c>
      <c r="Y218" s="16" t="s">
        <v>24</v>
      </c>
      <c r="AA218" s="1" t="s">
        <v>6</v>
      </c>
      <c r="AC218" s="5" t="str">
        <f t="shared" si="45"/>
        <v>KIM BERGER MD</v>
      </c>
      <c r="AE218" s="1" t="s">
        <v>472</v>
      </c>
    </row>
    <row r="219" spans="2:31" x14ac:dyDescent="0.25">
      <c r="B219" s="6">
        <v>218</v>
      </c>
      <c r="C219" s="3" t="s">
        <v>473</v>
      </c>
      <c r="D219" s="4" t="str">
        <f t="shared" si="47"/>
        <v>FERNANDO PUGH</v>
      </c>
      <c r="E219" s="6" t="str">
        <f t="shared" si="40"/>
        <v>MALE</v>
      </c>
      <c r="F219" s="6" t="str">
        <f t="shared" si="41"/>
        <v>PERSONAL CARE</v>
      </c>
      <c r="G219" s="6" t="str">
        <f t="shared" si="42"/>
        <v>HAND SANITIZER</v>
      </c>
      <c r="H219" s="8">
        <v>10</v>
      </c>
      <c r="I219" s="8">
        <v>298</v>
      </c>
      <c r="J219" s="8">
        <f t="shared" si="43"/>
        <v>2980</v>
      </c>
      <c r="K219" s="6" t="s">
        <v>9</v>
      </c>
      <c r="L219" s="9">
        <v>45833</v>
      </c>
      <c r="M219" s="1" t="str">
        <f t="shared" si="46"/>
        <v>IBADAN</v>
      </c>
      <c r="Q219" s="1" t="s">
        <v>364</v>
      </c>
      <c r="S219" s="1" t="str">
        <f t="shared" si="39"/>
        <v>Hand Sanitizer</v>
      </c>
      <c r="U219" s="1" t="s">
        <v>117</v>
      </c>
      <c r="W219" s="1" t="str">
        <f t="shared" si="44"/>
        <v>Personal Care</v>
      </c>
      <c r="Y219" s="16" t="s">
        <v>555</v>
      </c>
      <c r="AA219" s="1" t="s">
        <v>19</v>
      </c>
      <c r="AC219" s="5" t="str">
        <f t="shared" si="45"/>
        <v>FERNANDO PUGH</v>
      </c>
      <c r="AE219" s="1" t="s">
        <v>474</v>
      </c>
    </row>
    <row r="220" spans="2:31" x14ac:dyDescent="0.25">
      <c r="B220" s="6">
        <v>219</v>
      </c>
      <c r="C220" s="3" t="s">
        <v>475</v>
      </c>
      <c r="D220" s="4" t="str">
        <f t="shared" si="47"/>
        <v>RICHARD BOLTON</v>
      </c>
      <c r="E220" s="6" t="str">
        <f t="shared" si="40"/>
        <v>FEMALE</v>
      </c>
      <c r="F220" s="6" t="str">
        <f t="shared" si="41"/>
        <v>HOUSEHOLD</v>
      </c>
      <c r="G220" s="6" t="str">
        <f t="shared" si="42"/>
        <v>TOILET PAPER</v>
      </c>
      <c r="H220" s="8">
        <v>1</v>
      </c>
      <c r="I220" s="8">
        <v>896</v>
      </c>
      <c r="J220" s="8">
        <f t="shared" si="43"/>
        <v>896</v>
      </c>
      <c r="K220" s="6" t="s">
        <v>20</v>
      </c>
      <c r="L220" s="9">
        <v>45833</v>
      </c>
      <c r="M220" s="1" t="str">
        <f t="shared" si="46"/>
        <v>IBADAN</v>
      </c>
      <c r="Q220" s="1" t="s">
        <v>25</v>
      </c>
      <c r="S220" s="1" t="str">
        <f t="shared" ref="S220:S251" si="48">TRIM(U220)</f>
        <v>Toilet Paper</v>
      </c>
      <c r="U220" s="1" t="s">
        <v>28</v>
      </c>
      <c r="W220" s="1" t="str">
        <f t="shared" si="44"/>
        <v>Household</v>
      </c>
      <c r="Y220" s="16" t="s">
        <v>24</v>
      </c>
      <c r="AA220" s="1" t="s">
        <v>6</v>
      </c>
      <c r="AC220" s="5" t="str">
        <f t="shared" si="45"/>
        <v>RICHARD BOLTON</v>
      </c>
      <c r="AE220" s="1" t="s">
        <v>476</v>
      </c>
    </row>
    <row r="221" spans="2:31" x14ac:dyDescent="0.25">
      <c r="B221" s="6">
        <v>220</v>
      </c>
      <c r="C221" s="3" t="s">
        <v>477</v>
      </c>
      <c r="D221" s="4" t="str">
        <f t="shared" si="47"/>
        <v>JORDAN TANNER</v>
      </c>
      <c r="E221" s="6" t="str">
        <f t="shared" si="40"/>
        <v>FEMALE</v>
      </c>
      <c r="F221" s="6" t="str">
        <f t="shared" si="41"/>
        <v>HOUSEHOLD</v>
      </c>
      <c r="G221" s="6" t="str">
        <f t="shared" si="42"/>
        <v>AIR FRESHENER</v>
      </c>
      <c r="H221" s="8">
        <v>7</v>
      </c>
      <c r="I221" s="8">
        <v>247</v>
      </c>
      <c r="J221" s="8">
        <f t="shared" si="43"/>
        <v>1729</v>
      </c>
      <c r="K221" s="6" t="s">
        <v>9</v>
      </c>
      <c r="L221" s="9">
        <v>45814</v>
      </c>
      <c r="M221" s="1" t="str">
        <f t="shared" si="46"/>
        <v>KANO</v>
      </c>
      <c r="Q221" s="1" t="s">
        <v>72</v>
      </c>
      <c r="S221" s="1" t="str">
        <f t="shared" si="48"/>
        <v>Air Freshener</v>
      </c>
      <c r="U221" s="1" t="s">
        <v>55</v>
      </c>
      <c r="W221" s="1" t="str">
        <f t="shared" si="44"/>
        <v>Household</v>
      </c>
      <c r="Y221" s="16" t="s">
        <v>24</v>
      </c>
      <c r="AA221" s="1" t="s">
        <v>6</v>
      </c>
      <c r="AC221" s="5" t="str">
        <f t="shared" si="45"/>
        <v>JORDAN TANNER</v>
      </c>
      <c r="AE221" s="1" t="s">
        <v>478</v>
      </c>
    </row>
    <row r="222" spans="2:31" x14ac:dyDescent="0.25">
      <c r="B222" s="6">
        <v>221</v>
      </c>
      <c r="C222" s="3" t="s">
        <v>479</v>
      </c>
      <c r="D222" s="4" t="str">
        <f t="shared" si="47"/>
        <v>DONNA LEE</v>
      </c>
      <c r="E222" s="6" t="str">
        <f t="shared" si="40"/>
        <v>FEMALE</v>
      </c>
      <c r="F222" s="6" t="str">
        <f t="shared" si="41"/>
        <v>SNACKS</v>
      </c>
      <c r="G222" s="6" t="str">
        <f t="shared" si="42"/>
        <v>GRANOLA BAR</v>
      </c>
      <c r="H222" s="8">
        <v>5</v>
      </c>
      <c r="I222" s="8">
        <v>878</v>
      </c>
      <c r="J222" s="8">
        <f t="shared" si="43"/>
        <v>4390</v>
      </c>
      <c r="K222" s="6" t="s">
        <v>15</v>
      </c>
      <c r="L222" s="9">
        <v>45819</v>
      </c>
      <c r="M222" s="1" t="str">
        <f t="shared" si="46"/>
        <v xml:space="preserve">LAGOS </v>
      </c>
      <c r="Q222" s="1" t="s">
        <v>21</v>
      </c>
      <c r="S222" s="1" t="str">
        <f t="shared" si="48"/>
        <v>Granola Bar</v>
      </c>
      <c r="U222" s="1" t="s">
        <v>92</v>
      </c>
      <c r="W222" s="1" t="str">
        <f t="shared" si="44"/>
        <v>Snacks</v>
      </c>
      <c r="Y222" s="16" t="s">
        <v>7</v>
      </c>
      <c r="AA222" s="1" t="s">
        <v>6</v>
      </c>
      <c r="AC222" s="5" t="str">
        <f t="shared" si="45"/>
        <v>DONNA LEE</v>
      </c>
      <c r="AE222" s="1" t="s">
        <v>480</v>
      </c>
    </row>
    <row r="223" spans="2:31" x14ac:dyDescent="0.25">
      <c r="B223" s="6">
        <v>222</v>
      </c>
      <c r="C223" s="3" t="s">
        <v>481</v>
      </c>
      <c r="D223" s="4" t="str">
        <f t="shared" si="47"/>
        <v>JOHN ODOM</v>
      </c>
      <c r="E223" s="6" t="str">
        <f t="shared" si="40"/>
        <v>FEMALE</v>
      </c>
      <c r="F223" s="6" t="str">
        <f t="shared" si="41"/>
        <v>SNACKS</v>
      </c>
      <c r="G223" s="6" t="str">
        <f t="shared" si="42"/>
        <v>COOKIES</v>
      </c>
      <c r="H223" s="8">
        <v>5</v>
      </c>
      <c r="I223" s="8">
        <v>155</v>
      </c>
      <c r="J223" s="8">
        <f t="shared" si="43"/>
        <v>775</v>
      </c>
      <c r="K223" s="6" t="s">
        <v>9</v>
      </c>
      <c r="L223" s="9">
        <v>45834</v>
      </c>
      <c r="M223" s="1" t="str">
        <f t="shared" si="46"/>
        <v>ABUJA</v>
      </c>
      <c r="Q223" s="1" t="s">
        <v>58</v>
      </c>
      <c r="S223" s="1" t="str">
        <f t="shared" si="48"/>
        <v>Cookies</v>
      </c>
      <c r="U223" s="1" t="s">
        <v>71</v>
      </c>
      <c r="W223" s="1" t="str">
        <f t="shared" si="44"/>
        <v>Snacks</v>
      </c>
      <c r="Y223" s="16" t="s">
        <v>7</v>
      </c>
      <c r="AA223" s="1" t="s">
        <v>6</v>
      </c>
      <c r="AC223" s="5" t="str">
        <f t="shared" si="45"/>
        <v>JOHN ODOM</v>
      </c>
      <c r="AE223" s="1" t="s">
        <v>482</v>
      </c>
    </row>
    <row r="224" spans="2:31" x14ac:dyDescent="0.25">
      <c r="B224" s="6">
        <v>223</v>
      </c>
      <c r="C224" s="3" t="s">
        <v>483</v>
      </c>
      <c r="D224" s="4" t="str">
        <f t="shared" si="47"/>
        <v>NOAH MOODY</v>
      </c>
      <c r="E224" s="6" t="str">
        <f t="shared" si="40"/>
        <v>FEMALE</v>
      </c>
      <c r="F224" s="6" t="str">
        <f t="shared" si="41"/>
        <v>HOUSEHOLD</v>
      </c>
      <c r="G224" s="6" t="str">
        <f t="shared" si="42"/>
        <v>AIR FRESHENER</v>
      </c>
      <c r="H224" s="8">
        <v>7</v>
      </c>
      <c r="I224" s="8">
        <v>273</v>
      </c>
      <c r="J224" s="8">
        <f t="shared" si="43"/>
        <v>1911</v>
      </c>
      <c r="K224" s="6" t="s">
        <v>20</v>
      </c>
      <c r="L224" s="9">
        <v>45818</v>
      </c>
      <c r="M224" s="1" t="str">
        <f t="shared" si="46"/>
        <v>PORT HARCOURT</v>
      </c>
      <c r="Q224" s="1" t="s">
        <v>10</v>
      </c>
      <c r="S224" s="1" t="str">
        <f t="shared" si="48"/>
        <v>Air Freshener</v>
      </c>
      <c r="U224" s="1" t="s">
        <v>55</v>
      </c>
      <c r="W224" s="1" t="str">
        <f t="shared" si="44"/>
        <v>Household</v>
      </c>
      <c r="Y224" s="16" t="s">
        <v>24</v>
      </c>
      <c r="AA224" s="1" t="s">
        <v>6</v>
      </c>
      <c r="AC224" s="5" t="str">
        <f t="shared" si="45"/>
        <v>NOAH MOODY</v>
      </c>
      <c r="AE224" s="1" t="s">
        <v>484</v>
      </c>
    </row>
    <row r="225" spans="2:31" x14ac:dyDescent="0.25">
      <c r="B225" s="6">
        <v>224</v>
      </c>
      <c r="C225" s="3" t="s">
        <v>485</v>
      </c>
      <c r="D225" s="4" t="str">
        <f t="shared" si="47"/>
        <v>MICHEAL RIVERA</v>
      </c>
      <c r="E225" s="6" t="str">
        <f t="shared" si="40"/>
        <v>FEMALE</v>
      </c>
      <c r="F225" s="6" t="str">
        <f t="shared" si="41"/>
        <v>HOUSEHOLD</v>
      </c>
      <c r="G225" s="6" t="str">
        <f t="shared" si="42"/>
        <v>BLEACH</v>
      </c>
      <c r="H225" s="8">
        <v>4</v>
      </c>
      <c r="I225" s="8">
        <v>637</v>
      </c>
      <c r="J225" s="8">
        <f t="shared" si="43"/>
        <v>2548</v>
      </c>
      <c r="K225" s="6" t="s">
        <v>42</v>
      </c>
      <c r="L225" s="9">
        <v>45820</v>
      </c>
      <c r="M225" s="1" t="str">
        <f t="shared" si="46"/>
        <v>IBADAN</v>
      </c>
      <c r="Q225" s="1" t="s">
        <v>25</v>
      </c>
      <c r="S225" s="1" t="str">
        <f t="shared" si="48"/>
        <v>Bleach</v>
      </c>
      <c r="U225" s="1" t="s">
        <v>134</v>
      </c>
      <c r="W225" s="1" t="str">
        <f t="shared" si="44"/>
        <v>Household</v>
      </c>
      <c r="Y225" s="16" t="s">
        <v>24</v>
      </c>
      <c r="AA225" s="1" t="s">
        <v>6</v>
      </c>
      <c r="AC225" s="5" t="str">
        <f t="shared" si="45"/>
        <v>MICHEAL RIVERA</v>
      </c>
      <c r="AE225" s="1" t="s">
        <v>486</v>
      </c>
    </row>
    <row r="226" spans="2:31" x14ac:dyDescent="0.25">
      <c r="B226" s="6">
        <v>225</v>
      </c>
      <c r="C226" s="3" t="s">
        <v>487</v>
      </c>
      <c r="D226" s="4" t="str">
        <f t="shared" si="47"/>
        <v>AMANDA JOHNSON</v>
      </c>
      <c r="E226" s="6" t="str">
        <f t="shared" si="40"/>
        <v>FEMALE</v>
      </c>
      <c r="F226" s="6" t="str">
        <f t="shared" si="41"/>
        <v>PERSONAL CARE</v>
      </c>
      <c r="G226" s="6" t="str">
        <f t="shared" si="42"/>
        <v>SHAMPOO</v>
      </c>
      <c r="H226" s="8">
        <v>5</v>
      </c>
      <c r="I226" s="8">
        <v>546</v>
      </c>
      <c r="J226" s="8">
        <f t="shared" si="43"/>
        <v>2730</v>
      </c>
      <c r="K226" s="6" t="s">
        <v>9</v>
      </c>
      <c r="L226" s="9">
        <v>45811</v>
      </c>
      <c r="M226" s="1" t="str">
        <f t="shared" si="46"/>
        <v>LAGOS</v>
      </c>
      <c r="Q226" s="1" t="s">
        <v>29</v>
      </c>
      <c r="S226" s="1" t="str">
        <f t="shared" si="48"/>
        <v>Shampoo</v>
      </c>
      <c r="U226" s="1" t="s">
        <v>38</v>
      </c>
      <c r="W226" s="1" t="str">
        <f t="shared" si="44"/>
        <v>Personal Care</v>
      </c>
      <c r="Y226" s="16" t="s">
        <v>555</v>
      </c>
      <c r="AA226" s="1" t="s">
        <v>6</v>
      </c>
      <c r="AC226" s="5" t="str">
        <f t="shared" si="45"/>
        <v>AMANDA JOHNSON</v>
      </c>
      <c r="AE226" s="1" t="s">
        <v>488</v>
      </c>
    </row>
    <row r="227" spans="2:31" x14ac:dyDescent="0.25">
      <c r="B227" s="6">
        <v>226</v>
      </c>
      <c r="C227" s="3" t="s">
        <v>489</v>
      </c>
      <c r="D227" s="4" t="str">
        <f t="shared" si="47"/>
        <v>TONYA CLARK</v>
      </c>
      <c r="E227" s="6" t="str">
        <f t="shared" si="40"/>
        <v>FEMALE</v>
      </c>
      <c r="F227" s="6" t="str">
        <f t="shared" si="41"/>
        <v>HOUSEHOLD</v>
      </c>
      <c r="G227" s="6" t="str">
        <f t="shared" si="42"/>
        <v>DETERGENT</v>
      </c>
      <c r="H227" s="8">
        <v>120</v>
      </c>
      <c r="I227" s="8">
        <v>176</v>
      </c>
      <c r="J227" s="8">
        <f t="shared" si="43"/>
        <v>21120</v>
      </c>
      <c r="K227" s="6" t="s">
        <v>15</v>
      </c>
      <c r="L227" s="9">
        <v>45831</v>
      </c>
      <c r="M227" s="1" t="str">
        <f t="shared" si="46"/>
        <v>LAGOS</v>
      </c>
      <c r="Q227" s="1" t="s">
        <v>29</v>
      </c>
      <c r="S227" s="1" t="str">
        <f t="shared" si="48"/>
        <v>Detergent</v>
      </c>
      <c r="U227" s="1" t="s">
        <v>63</v>
      </c>
      <c r="W227" s="1" t="str">
        <f t="shared" si="44"/>
        <v>Household</v>
      </c>
      <c r="Y227" s="16" t="s">
        <v>24</v>
      </c>
      <c r="AA227" s="1" t="s">
        <v>6</v>
      </c>
      <c r="AC227" s="5" t="str">
        <f t="shared" si="45"/>
        <v>TONYA CLARK</v>
      </c>
      <c r="AE227" s="1" t="s">
        <v>490</v>
      </c>
    </row>
    <row r="228" spans="2:31" x14ac:dyDescent="0.25">
      <c r="B228" s="6">
        <v>227</v>
      </c>
      <c r="C228" s="3" t="s">
        <v>491</v>
      </c>
      <c r="D228" s="4" t="str">
        <f t="shared" si="47"/>
        <v>DAVID WEBB</v>
      </c>
      <c r="E228" s="6" t="str">
        <f t="shared" si="40"/>
        <v>FEMALE</v>
      </c>
      <c r="F228" s="6" t="str">
        <f t="shared" si="41"/>
        <v>PERSONAL CARE</v>
      </c>
      <c r="G228" s="6" t="str">
        <f t="shared" si="42"/>
        <v>TOOTHPASTE</v>
      </c>
      <c r="H228" s="8">
        <v>10</v>
      </c>
      <c r="I228" s="8">
        <v>697</v>
      </c>
      <c r="J228" s="8">
        <f t="shared" si="43"/>
        <v>6970</v>
      </c>
      <c r="K228" s="6" t="s">
        <v>42</v>
      </c>
      <c r="L228" s="9">
        <v>45829</v>
      </c>
      <c r="M228" s="1" t="str">
        <f t="shared" si="46"/>
        <v>LAGOS</v>
      </c>
      <c r="Q228" s="1" t="s">
        <v>29</v>
      </c>
      <c r="S228" s="1" t="str">
        <f t="shared" si="48"/>
        <v>Toothpaste</v>
      </c>
      <c r="U228" s="1" t="s">
        <v>164</v>
      </c>
      <c r="W228" s="1" t="str">
        <f t="shared" si="44"/>
        <v>Personal Care</v>
      </c>
      <c r="Y228" s="16" t="s">
        <v>555</v>
      </c>
      <c r="AA228" s="1" t="s">
        <v>6</v>
      </c>
      <c r="AC228" s="5" t="str">
        <f t="shared" si="45"/>
        <v>DAVID WEBB</v>
      </c>
      <c r="AE228" s="1" t="s">
        <v>492</v>
      </c>
    </row>
    <row r="229" spans="2:31" x14ac:dyDescent="0.25">
      <c r="B229" s="6">
        <v>228</v>
      </c>
      <c r="C229" s="3" t="s">
        <v>493</v>
      </c>
      <c r="D229" s="4" t="str">
        <f t="shared" si="47"/>
        <v>AMY OLIVER</v>
      </c>
      <c r="E229" s="6" t="str">
        <f t="shared" si="40"/>
        <v>FEMALE</v>
      </c>
      <c r="F229" s="6" t="str">
        <f t="shared" si="41"/>
        <v>BEVERAGES</v>
      </c>
      <c r="G229" s="6" t="str">
        <f t="shared" si="42"/>
        <v>FANTA</v>
      </c>
      <c r="H229" s="8">
        <v>8</v>
      </c>
      <c r="I229" s="8">
        <v>86</v>
      </c>
      <c r="J229" s="8">
        <f t="shared" si="43"/>
        <v>688</v>
      </c>
      <c r="K229" s="6" t="s">
        <v>15</v>
      </c>
      <c r="L229" s="9">
        <v>45825</v>
      </c>
      <c r="M229" s="1" t="str">
        <f t="shared" si="46"/>
        <v>ABUJA</v>
      </c>
      <c r="Q229" s="1" t="s">
        <v>58</v>
      </c>
      <c r="S229" s="1" t="str">
        <f t="shared" si="48"/>
        <v>Fanta</v>
      </c>
      <c r="U229" s="1" t="s">
        <v>14</v>
      </c>
      <c r="W229" s="1" t="str">
        <f t="shared" si="44"/>
        <v>Beverages</v>
      </c>
      <c r="Y229" s="16" t="s">
        <v>13</v>
      </c>
      <c r="AA229" s="1" t="s">
        <v>6</v>
      </c>
      <c r="AC229" s="5" t="str">
        <f t="shared" si="45"/>
        <v>AMY OLIVER</v>
      </c>
      <c r="AE229" s="1" t="s">
        <v>494</v>
      </c>
    </row>
    <row r="230" spans="2:31" x14ac:dyDescent="0.25">
      <c r="B230" s="6">
        <v>229</v>
      </c>
      <c r="C230" s="3" t="s">
        <v>495</v>
      </c>
      <c r="D230" s="4" t="str">
        <f t="shared" si="47"/>
        <v>ANGEL SCOTT</v>
      </c>
      <c r="E230" s="6" t="str">
        <f t="shared" si="40"/>
        <v>FEMALE</v>
      </c>
      <c r="F230" s="6" t="str">
        <f t="shared" si="41"/>
        <v>HOUSEHOLD</v>
      </c>
      <c r="G230" s="6" t="str">
        <f t="shared" si="42"/>
        <v>BLEACH</v>
      </c>
      <c r="H230" s="8">
        <v>3</v>
      </c>
      <c r="I230" s="8">
        <v>917</v>
      </c>
      <c r="J230" s="8">
        <f t="shared" si="43"/>
        <v>2751</v>
      </c>
      <c r="K230" s="6" t="s">
        <v>42</v>
      </c>
      <c r="L230" s="9">
        <v>45831</v>
      </c>
      <c r="M230" s="1" t="str">
        <f t="shared" si="46"/>
        <v>BENIN CITY</v>
      </c>
      <c r="Q230" s="1" t="s">
        <v>16</v>
      </c>
      <c r="S230" s="1" t="str">
        <f t="shared" si="48"/>
        <v>Bleach</v>
      </c>
      <c r="U230" s="1" t="s">
        <v>134</v>
      </c>
      <c r="W230" s="1" t="str">
        <f t="shared" si="44"/>
        <v>Household</v>
      </c>
      <c r="Y230" s="16" t="s">
        <v>24</v>
      </c>
      <c r="AA230" s="1" t="s">
        <v>6</v>
      </c>
      <c r="AC230" s="5" t="str">
        <f t="shared" si="45"/>
        <v>ANGEL SCOTT</v>
      </c>
      <c r="AE230" s="1" t="s">
        <v>496</v>
      </c>
    </row>
    <row r="231" spans="2:31" x14ac:dyDescent="0.25">
      <c r="B231" s="6">
        <v>230</v>
      </c>
      <c r="C231" s="3" t="s">
        <v>497</v>
      </c>
      <c r="D231" s="4" t="str">
        <f t="shared" si="47"/>
        <v>COLE SINGLETON</v>
      </c>
      <c r="E231" s="6" t="str">
        <f t="shared" si="40"/>
        <v>MALE</v>
      </c>
      <c r="F231" s="6" t="str">
        <f t="shared" si="41"/>
        <v>PERSONAL CARE</v>
      </c>
      <c r="G231" s="6" t="str">
        <f t="shared" si="42"/>
        <v>LOTION</v>
      </c>
      <c r="H231" s="8">
        <v>9</v>
      </c>
      <c r="I231" s="8">
        <v>715</v>
      </c>
      <c r="J231" s="8">
        <f t="shared" si="43"/>
        <v>6435</v>
      </c>
      <c r="K231" s="6" t="s">
        <v>42</v>
      </c>
      <c r="L231" s="9">
        <v>45815</v>
      </c>
      <c r="M231" s="1" t="str">
        <f t="shared" si="46"/>
        <v>BENIN CITY</v>
      </c>
      <c r="Q231" s="1" t="s">
        <v>16</v>
      </c>
      <c r="S231" s="1" t="str">
        <f t="shared" si="48"/>
        <v>Lotion</v>
      </c>
      <c r="U231" s="1" t="s">
        <v>49</v>
      </c>
      <c r="W231" s="1" t="str">
        <f t="shared" si="44"/>
        <v>Personal Care</v>
      </c>
      <c r="Y231" s="16" t="s">
        <v>555</v>
      </c>
      <c r="AA231" s="1" t="s">
        <v>19</v>
      </c>
      <c r="AC231" s="5" t="str">
        <f t="shared" si="45"/>
        <v xml:space="preserve">  COLE SINGLETON  </v>
      </c>
      <c r="AE231" s="1" t="s">
        <v>498</v>
      </c>
    </row>
    <row r="232" spans="2:31" x14ac:dyDescent="0.25">
      <c r="B232" s="6">
        <v>231</v>
      </c>
      <c r="C232" s="3" t="s">
        <v>499</v>
      </c>
      <c r="D232" s="4" t="str">
        <f t="shared" si="47"/>
        <v>KYLE CHAPMAN</v>
      </c>
      <c r="E232" s="6" t="str">
        <f t="shared" si="40"/>
        <v>FEMALE</v>
      </c>
      <c r="F232" s="6" t="str">
        <f t="shared" si="41"/>
        <v>BEVERAGES</v>
      </c>
      <c r="G232" s="6" t="str">
        <f t="shared" si="42"/>
        <v>FANTA</v>
      </c>
      <c r="H232" s="8">
        <v>4</v>
      </c>
      <c r="I232" s="8">
        <v>192</v>
      </c>
      <c r="J232" s="8">
        <f t="shared" si="43"/>
        <v>768</v>
      </c>
      <c r="K232" s="6" t="s">
        <v>42</v>
      </c>
      <c r="L232" s="9">
        <v>45817</v>
      </c>
      <c r="M232" s="1" t="str">
        <f t="shared" si="46"/>
        <v>LAGOS</v>
      </c>
      <c r="Q232" s="1" t="s">
        <v>29</v>
      </c>
      <c r="S232" s="1" t="str">
        <f t="shared" si="48"/>
        <v>Fanta</v>
      </c>
      <c r="U232" s="1" t="s">
        <v>14</v>
      </c>
      <c r="W232" s="1" t="str">
        <f t="shared" si="44"/>
        <v>Beverages</v>
      </c>
      <c r="Y232" s="16" t="s">
        <v>13</v>
      </c>
      <c r="AA232" s="1" t="s">
        <v>6</v>
      </c>
      <c r="AC232" s="5" t="str">
        <f t="shared" si="45"/>
        <v>KYLE CHAPMAN</v>
      </c>
      <c r="AE232" s="1" t="s">
        <v>500</v>
      </c>
    </row>
    <row r="233" spans="2:31" x14ac:dyDescent="0.25">
      <c r="B233" s="6">
        <v>232</v>
      </c>
      <c r="C233" s="3" t="s">
        <v>501</v>
      </c>
      <c r="D233" s="4" t="str">
        <f t="shared" si="47"/>
        <v>HECTOR PARK</v>
      </c>
      <c r="E233" s="6" t="str">
        <f t="shared" si="40"/>
        <v>MALE</v>
      </c>
      <c r="F233" s="6" t="str">
        <f t="shared" si="41"/>
        <v>PERSONAL CARE</v>
      </c>
      <c r="G233" s="6" t="str">
        <f t="shared" si="42"/>
        <v>LOTION</v>
      </c>
      <c r="H233" s="8">
        <v>1</v>
      </c>
      <c r="I233" s="8">
        <v>113</v>
      </c>
      <c r="J233" s="8">
        <f t="shared" si="43"/>
        <v>113</v>
      </c>
      <c r="K233" s="6" t="s">
        <v>15</v>
      </c>
      <c r="L233" s="9">
        <v>45819</v>
      </c>
      <c r="M233" s="1" t="str">
        <f t="shared" ref="M233:M251" si="49">UPPER(Q233)</f>
        <v>ABUJA</v>
      </c>
      <c r="Q233" s="1" t="s">
        <v>58</v>
      </c>
      <c r="S233" s="1" t="str">
        <f t="shared" si="48"/>
        <v>Lotion</v>
      </c>
      <c r="U233" s="1" t="s">
        <v>49</v>
      </c>
      <c r="W233" s="1" t="str">
        <f t="shared" si="44"/>
        <v>Personal Care</v>
      </c>
      <c r="Y233" s="16" t="s">
        <v>555</v>
      </c>
      <c r="AA233" s="1" t="s">
        <v>19</v>
      </c>
      <c r="AC233" s="5" t="str">
        <f t="shared" si="45"/>
        <v>HECTOR PARK</v>
      </c>
      <c r="AE233" s="1" t="s">
        <v>502</v>
      </c>
    </row>
    <row r="234" spans="2:31" x14ac:dyDescent="0.25">
      <c r="B234" s="6">
        <v>233</v>
      </c>
      <c r="C234" s="3" t="s">
        <v>503</v>
      </c>
      <c r="D234" s="4" t="str">
        <f t="shared" si="47"/>
        <v>SEAN HOPKINS</v>
      </c>
      <c r="E234" s="6" t="str">
        <f t="shared" si="40"/>
        <v>FEMALE</v>
      </c>
      <c r="F234" s="6" t="str">
        <f t="shared" si="41"/>
        <v>SNACKS</v>
      </c>
      <c r="G234" s="6" t="str">
        <f t="shared" si="42"/>
        <v>BISCUITS</v>
      </c>
      <c r="H234" s="8">
        <v>5</v>
      </c>
      <c r="I234" s="8">
        <v>924</v>
      </c>
      <c r="J234" s="8">
        <f t="shared" si="43"/>
        <v>4620</v>
      </c>
      <c r="K234" s="6" t="s">
        <v>9</v>
      </c>
      <c r="L234" s="9">
        <v>45813</v>
      </c>
      <c r="M234" s="1" t="str">
        <f t="shared" si="49"/>
        <v>LAGOS</v>
      </c>
      <c r="Q234" s="1" t="s">
        <v>29</v>
      </c>
      <c r="S234" s="1" t="str">
        <f t="shared" si="48"/>
        <v>Biscuits</v>
      </c>
      <c r="U234" s="1" t="s">
        <v>8</v>
      </c>
      <c r="W234" s="1" t="str">
        <f t="shared" si="44"/>
        <v>Snacks</v>
      </c>
      <c r="Y234" s="16" t="s">
        <v>7</v>
      </c>
      <c r="AA234" s="1" t="s">
        <v>6</v>
      </c>
      <c r="AC234" s="5" t="str">
        <f t="shared" si="45"/>
        <v>SEAN HOPKINS</v>
      </c>
      <c r="AE234" s="1" t="s">
        <v>504</v>
      </c>
    </row>
    <row r="235" spans="2:31" x14ac:dyDescent="0.25">
      <c r="B235" s="6">
        <v>234</v>
      </c>
      <c r="C235" s="3" t="s">
        <v>505</v>
      </c>
      <c r="D235" s="4" t="str">
        <f t="shared" si="47"/>
        <v>AMY HART</v>
      </c>
      <c r="E235" s="6" t="str">
        <f t="shared" si="40"/>
        <v>FEMALE</v>
      </c>
      <c r="F235" s="6" t="str">
        <f t="shared" si="41"/>
        <v>PERSONAL CARE</v>
      </c>
      <c r="G235" s="6" t="str">
        <f t="shared" si="42"/>
        <v>SHAMPOO</v>
      </c>
      <c r="H235" s="8">
        <v>1</v>
      </c>
      <c r="I235" s="8">
        <v>968</v>
      </c>
      <c r="J235" s="8">
        <f t="shared" si="43"/>
        <v>968</v>
      </c>
      <c r="K235" s="6" t="s">
        <v>15</v>
      </c>
      <c r="L235" s="9">
        <v>45835</v>
      </c>
      <c r="M235" s="1" t="str">
        <f t="shared" si="49"/>
        <v>KANO</v>
      </c>
      <c r="Q235" s="1" t="s">
        <v>72</v>
      </c>
      <c r="S235" s="1" t="str">
        <f t="shared" si="48"/>
        <v>Shampoo</v>
      </c>
      <c r="U235" s="1" t="s">
        <v>38</v>
      </c>
      <c r="W235" s="1" t="str">
        <f t="shared" si="44"/>
        <v>Personal Care</v>
      </c>
      <c r="Y235" s="16" t="s">
        <v>555</v>
      </c>
      <c r="AA235" s="1" t="s">
        <v>6</v>
      </c>
      <c r="AC235" s="5" t="str">
        <f t="shared" si="45"/>
        <v>AMY HART</v>
      </c>
      <c r="AE235" s="1" t="s">
        <v>506</v>
      </c>
    </row>
    <row r="236" spans="2:31" x14ac:dyDescent="0.25">
      <c r="B236" s="6">
        <v>235</v>
      </c>
      <c r="C236" s="3" t="s">
        <v>507</v>
      </c>
      <c r="D236" s="4" t="str">
        <f t="shared" si="47"/>
        <v>HEATHER CHAVEZ</v>
      </c>
      <c r="E236" s="6" t="str">
        <f t="shared" si="40"/>
        <v>MALE</v>
      </c>
      <c r="F236" s="6" t="str">
        <f t="shared" si="41"/>
        <v>SNACKS</v>
      </c>
      <c r="G236" s="6" t="str">
        <f t="shared" si="42"/>
        <v>GRANOLA BAR</v>
      </c>
      <c r="H236" s="8">
        <v>6</v>
      </c>
      <c r="I236" s="8">
        <v>681</v>
      </c>
      <c r="J236" s="8">
        <f t="shared" si="43"/>
        <v>4086</v>
      </c>
      <c r="K236" s="6" t="s">
        <v>42</v>
      </c>
      <c r="L236" s="9">
        <v>45826</v>
      </c>
      <c r="M236" s="1" t="str">
        <f t="shared" si="49"/>
        <v>KANO</v>
      </c>
      <c r="Q236" s="1" t="s">
        <v>72</v>
      </c>
      <c r="S236" s="1" t="str">
        <f t="shared" si="48"/>
        <v>Granola Bar</v>
      </c>
      <c r="U236" s="1" t="s">
        <v>92</v>
      </c>
      <c r="W236" s="1" t="str">
        <f t="shared" si="44"/>
        <v>Snacks</v>
      </c>
      <c r="Y236" s="16" t="s">
        <v>7</v>
      </c>
      <c r="AA236" s="1" t="s">
        <v>19</v>
      </c>
      <c r="AC236" s="5" t="str">
        <f t="shared" si="45"/>
        <v>HEATHER CHAVEZ</v>
      </c>
      <c r="AE236" s="1" t="s">
        <v>508</v>
      </c>
    </row>
    <row r="237" spans="2:31" x14ac:dyDescent="0.25">
      <c r="B237" s="6">
        <v>236</v>
      </c>
      <c r="C237" s="3" t="s">
        <v>509</v>
      </c>
      <c r="D237" s="4" t="str">
        <f t="shared" si="47"/>
        <v>ELIZABETH HARMON</v>
      </c>
      <c r="E237" s="6" t="str">
        <f t="shared" si="40"/>
        <v>MALE</v>
      </c>
      <c r="F237" s="6" t="str">
        <f t="shared" si="41"/>
        <v>SNACKS</v>
      </c>
      <c r="G237" s="6" t="str">
        <f t="shared" si="42"/>
        <v>CHIPS</v>
      </c>
      <c r="H237" s="8">
        <v>10</v>
      </c>
      <c r="I237" s="8">
        <v>460</v>
      </c>
      <c r="J237" s="8">
        <f t="shared" si="43"/>
        <v>4600</v>
      </c>
      <c r="K237" s="6" t="s">
        <v>9</v>
      </c>
      <c r="L237" s="9">
        <v>45821</v>
      </c>
      <c r="M237" s="1" t="str">
        <f t="shared" si="49"/>
        <v>LAGOS</v>
      </c>
      <c r="Q237" s="1" t="s">
        <v>29</v>
      </c>
      <c r="S237" s="1" t="str">
        <f t="shared" si="48"/>
        <v>Chips</v>
      </c>
      <c r="U237" s="1" t="s">
        <v>103</v>
      </c>
      <c r="W237" s="1" t="str">
        <f t="shared" si="44"/>
        <v>Snacks</v>
      </c>
      <c r="Y237" s="16" t="s">
        <v>7</v>
      </c>
      <c r="AA237" s="1" t="s">
        <v>19</v>
      </c>
      <c r="AC237" s="5" t="str">
        <f t="shared" si="45"/>
        <v>ELIZABETH HARMON</v>
      </c>
      <c r="AE237" s="1" t="s">
        <v>510</v>
      </c>
    </row>
    <row r="238" spans="2:31" x14ac:dyDescent="0.25">
      <c r="B238" s="6">
        <v>237</v>
      </c>
      <c r="C238" s="3" t="s">
        <v>511</v>
      </c>
      <c r="D238" s="4" t="str">
        <f t="shared" si="47"/>
        <v>ANNETTE PATTERSON</v>
      </c>
      <c r="E238" s="6" t="str">
        <f t="shared" si="40"/>
        <v>FEMALE</v>
      </c>
      <c r="F238" s="6" t="str">
        <f t="shared" si="41"/>
        <v>SNACKS</v>
      </c>
      <c r="G238" s="6" t="str">
        <f t="shared" si="42"/>
        <v>CHIN CHIN</v>
      </c>
      <c r="H238" s="8">
        <v>1</v>
      </c>
      <c r="I238" s="8">
        <v>644</v>
      </c>
      <c r="J238" s="8">
        <f t="shared" si="43"/>
        <v>644</v>
      </c>
      <c r="K238" s="6" t="s">
        <v>20</v>
      </c>
      <c r="L238" s="9">
        <v>45815</v>
      </c>
      <c r="M238" s="1" t="str">
        <f t="shared" si="49"/>
        <v>PORT HARCOURT</v>
      </c>
      <c r="Q238" s="1" t="s">
        <v>10</v>
      </c>
      <c r="S238" s="1" t="str">
        <f t="shared" si="48"/>
        <v>Chin Chin</v>
      </c>
      <c r="U238" s="1" t="s">
        <v>41</v>
      </c>
      <c r="W238" s="1" t="str">
        <f t="shared" si="44"/>
        <v>Snacks</v>
      </c>
      <c r="Y238" s="16" t="s">
        <v>7</v>
      </c>
      <c r="AA238" s="1" t="s">
        <v>6</v>
      </c>
      <c r="AC238" s="5" t="str">
        <f t="shared" si="45"/>
        <v>ANNETTE PATTERSON</v>
      </c>
      <c r="AE238" s="1" t="s">
        <v>512</v>
      </c>
    </row>
    <row r="239" spans="2:31" x14ac:dyDescent="0.25">
      <c r="B239" s="6">
        <v>238</v>
      </c>
      <c r="C239" s="3" t="s">
        <v>513</v>
      </c>
      <c r="D239" s="4" t="str">
        <f t="shared" si="47"/>
        <v>CHAD CISNEROS</v>
      </c>
      <c r="E239" s="6" t="str">
        <f t="shared" si="40"/>
        <v>FEMALE</v>
      </c>
      <c r="F239" s="6" t="str">
        <f t="shared" si="41"/>
        <v>BEVERAGES</v>
      </c>
      <c r="G239" s="6" t="str">
        <f t="shared" si="42"/>
        <v>PEPSI</v>
      </c>
      <c r="H239" s="8">
        <v>2</v>
      </c>
      <c r="I239" s="8">
        <v>219</v>
      </c>
      <c r="J239" s="8">
        <f t="shared" si="43"/>
        <v>438</v>
      </c>
      <c r="K239" s="6" t="s">
        <v>15</v>
      </c>
      <c r="L239" s="9">
        <v>45826</v>
      </c>
      <c r="M239" s="1" t="str">
        <f t="shared" si="49"/>
        <v>LAGOS</v>
      </c>
      <c r="Q239" s="1" t="s">
        <v>29</v>
      </c>
      <c r="S239" s="1" t="str">
        <f t="shared" si="48"/>
        <v>Pepsi</v>
      </c>
      <c r="U239" s="1" t="s">
        <v>82</v>
      </c>
      <c r="W239" s="1" t="str">
        <f t="shared" si="44"/>
        <v>Beverages</v>
      </c>
      <c r="Y239" s="16" t="s">
        <v>13</v>
      </c>
      <c r="AA239" s="1" t="s">
        <v>6</v>
      </c>
      <c r="AC239" s="5" t="str">
        <f t="shared" si="45"/>
        <v>CHAD CISNEROS</v>
      </c>
      <c r="AE239" s="1" t="s">
        <v>514</v>
      </c>
    </row>
    <row r="240" spans="2:31" x14ac:dyDescent="0.25">
      <c r="B240" s="6">
        <v>239</v>
      </c>
      <c r="C240" s="3" t="s">
        <v>515</v>
      </c>
      <c r="D240" s="4" t="str">
        <f t="shared" si="47"/>
        <v>TRACY CUNNINGHAM</v>
      </c>
      <c r="E240" s="6" t="str">
        <f t="shared" si="40"/>
        <v>MALE</v>
      </c>
      <c r="F240" s="6" t="str">
        <f t="shared" si="41"/>
        <v>BEVERAGES</v>
      </c>
      <c r="G240" s="6" t="str">
        <f t="shared" si="42"/>
        <v>JUICE</v>
      </c>
      <c r="H240" s="8">
        <v>6</v>
      </c>
      <c r="I240" s="8">
        <v>894</v>
      </c>
      <c r="J240" s="8">
        <f t="shared" si="43"/>
        <v>5364</v>
      </c>
      <c r="K240" s="6" t="s">
        <v>20</v>
      </c>
      <c r="L240" s="9">
        <v>45835</v>
      </c>
      <c r="M240" s="1" t="str">
        <f t="shared" si="49"/>
        <v>PORT HARCOURT</v>
      </c>
      <c r="Q240" s="1" t="s">
        <v>10</v>
      </c>
      <c r="S240" s="1" t="str">
        <f t="shared" si="48"/>
        <v>Juice</v>
      </c>
      <c r="U240" s="1" t="s">
        <v>68</v>
      </c>
      <c r="W240" s="1" t="str">
        <f t="shared" si="44"/>
        <v>Beverages</v>
      </c>
      <c r="Y240" s="16" t="s">
        <v>13</v>
      </c>
      <c r="AA240" s="1" t="s">
        <v>19</v>
      </c>
      <c r="AC240" s="5" t="str">
        <f t="shared" si="45"/>
        <v>TRACY CUNNINGHAM</v>
      </c>
      <c r="AE240" s="1" t="s">
        <v>516</v>
      </c>
    </row>
    <row r="241" spans="2:31" x14ac:dyDescent="0.25">
      <c r="B241" s="6">
        <v>240</v>
      </c>
      <c r="C241" s="3" t="s">
        <v>517</v>
      </c>
      <c r="D241" s="4" t="str">
        <f t="shared" si="47"/>
        <v>MORGAN MYERS</v>
      </c>
      <c r="E241" s="6" t="str">
        <f t="shared" si="40"/>
        <v>MALE</v>
      </c>
      <c r="F241" s="6" t="str">
        <f t="shared" si="41"/>
        <v>BEVERAGES</v>
      </c>
      <c r="G241" s="6" t="str">
        <f t="shared" si="42"/>
        <v>JUICE</v>
      </c>
      <c r="H241" s="8">
        <v>7</v>
      </c>
      <c r="I241" s="8">
        <v>437</v>
      </c>
      <c r="J241" s="8">
        <f t="shared" si="43"/>
        <v>3059</v>
      </c>
      <c r="K241" s="6" t="s">
        <v>20</v>
      </c>
      <c r="L241" s="9">
        <v>45830</v>
      </c>
      <c r="M241" s="1" t="str">
        <f t="shared" si="49"/>
        <v>LAGOS</v>
      </c>
      <c r="Q241" s="1" t="s">
        <v>29</v>
      </c>
      <c r="S241" s="1" t="str">
        <f t="shared" si="48"/>
        <v>Juice</v>
      </c>
      <c r="U241" s="1" t="s">
        <v>68</v>
      </c>
      <c r="W241" s="1" t="str">
        <f t="shared" si="44"/>
        <v>Beverages</v>
      </c>
      <c r="Y241" s="16" t="s">
        <v>13</v>
      </c>
      <c r="AA241" s="1" t="s">
        <v>19</v>
      </c>
      <c r="AC241" s="5" t="str">
        <f t="shared" si="45"/>
        <v>MORGAN MYERS</v>
      </c>
      <c r="AE241" s="1" t="s">
        <v>518</v>
      </c>
    </row>
    <row r="242" spans="2:31" x14ac:dyDescent="0.25">
      <c r="B242" s="6">
        <v>241</v>
      </c>
      <c r="C242" s="3" t="s">
        <v>519</v>
      </c>
      <c r="D242" s="4" t="str">
        <f t="shared" si="47"/>
        <v>DARRELL KENNEDY</v>
      </c>
      <c r="E242" s="6" t="str">
        <f t="shared" si="40"/>
        <v>MALE</v>
      </c>
      <c r="F242" s="6" t="str">
        <f t="shared" si="41"/>
        <v>PERSONAL CARE</v>
      </c>
      <c r="G242" s="6" t="str">
        <f t="shared" si="42"/>
        <v>SHAMPOO</v>
      </c>
      <c r="H242" s="8">
        <v>7</v>
      </c>
      <c r="I242" s="8">
        <v>431</v>
      </c>
      <c r="J242" s="8">
        <f t="shared" si="43"/>
        <v>3017</v>
      </c>
      <c r="K242" s="6" t="s">
        <v>15</v>
      </c>
      <c r="L242" s="9">
        <v>45825</v>
      </c>
      <c r="M242" s="1" t="str">
        <f t="shared" si="49"/>
        <v>ABUJA</v>
      </c>
      <c r="Q242" s="1" t="s">
        <v>58</v>
      </c>
      <c r="S242" s="1" t="str">
        <f t="shared" si="48"/>
        <v>Shampoo</v>
      </c>
      <c r="U242" s="1" t="s">
        <v>38</v>
      </c>
      <c r="W242" s="1" t="str">
        <f t="shared" si="44"/>
        <v>Personal Care</v>
      </c>
      <c r="Y242" s="16" t="s">
        <v>555</v>
      </c>
      <c r="AA242" s="1" t="s">
        <v>19</v>
      </c>
      <c r="AC242" s="5" t="str">
        <f t="shared" si="45"/>
        <v>DARRELL KENNEDY</v>
      </c>
      <c r="AE242" s="1" t="s">
        <v>520</v>
      </c>
    </row>
    <row r="243" spans="2:31" x14ac:dyDescent="0.25">
      <c r="B243" s="6">
        <v>242</v>
      </c>
      <c r="C243" s="3" t="s">
        <v>521</v>
      </c>
      <c r="D243" s="4" t="str">
        <f t="shared" si="47"/>
        <v>CHRISTINE HAMMOND</v>
      </c>
      <c r="E243" s="6" t="str">
        <f t="shared" si="40"/>
        <v>MALE</v>
      </c>
      <c r="F243" s="6" t="str">
        <f t="shared" si="41"/>
        <v>PERSONAL CARE</v>
      </c>
      <c r="G243" s="6" t="str">
        <f t="shared" si="42"/>
        <v>DEODORANT</v>
      </c>
      <c r="H243" s="8">
        <v>6</v>
      </c>
      <c r="I243" s="8">
        <v>352</v>
      </c>
      <c r="J243" s="8">
        <f t="shared" si="43"/>
        <v>2112</v>
      </c>
      <c r="K243" s="6" t="s">
        <v>42</v>
      </c>
      <c r="L243" s="9">
        <v>45833</v>
      </c>
      <c r="M243" s="1" t="str">
        <f t="shared" si="49"/>
        <v>KANO</v>
      </c>
      <c r="Q243" s="1" t="s">
        <v>72</v>
      </c>
      <c r="S243" s="1" t="str">
        <f t="shared" si="48"/>
        <v>Deodorant</v>
      </c>
      <c r="U243" s="1" t="s">
        <v>159</v>
      </c>
      <c r="W243" s="1" t="str">
        <f t="shared" si="44"/>
        <v>Personal Care</v>
      </c>
      <c r="Y243" s="16" t="s">
        <v>555</v>
      </c>
      <c r="AA243" s="1" t="s">
        <v>19</v>
      </c>
      <c r="AC243" s="5" t="str">
        <f t="shared" si="45"/>
        <v>CHRISTINE HAMMOND</v>
      </c>
      <c r="AE243" s="1" t="s">
        <v>522</v>
      </c>
    </row>
    <row r="244" spans="2:31" x14ac:dyDescent="0.25">
      <c r="B244" s="6">
        <v>243</v>
      </c>
      <c r="C244" s="3" t="s">
        <v>523</v>
      </c>
      <c r="D244" s="5" t="s">
        <v>523</v>
      </c>
      <c r="E244" s="6" t="str">
        <f t="shared" si="40"/>
        <v>MALE</v>
      </c>
      <c r="F244" s="6" t="str">
        <f t="shared" si="41"/>
        <v>SNACKS</v>
      </c>
      <c r="G244" s="6" t="str">
        <f t="shared" si="42"/>
        <v>COOKIES</v>
      </c>
      <c r="H244" s="8">
        <v>1</v>
      </c>
      <c r="I244" s="8">
        <v>623</v>
      </c>
      <c r="J244" s="8">
        <f t="shared" si="43"/>
        <v>623</v>
      </c>
      <c r="K244" s="6" t="s">
        <v>42</v>
      </c>
      <c r="L244" s="9">
        <v>45831</v>
      </c>
      <c r="M244" s="1" t="str">
        <f t="shared" si="49"/>
        <v>ABUJA</v>
      </c>
      <c r="Q244" s="1" t="s">
        <v>58</v>
      </c>
      <c r="S244" s="1" t="str">
        <f t="shared" si="48"/>
        <v>Cookies</v>
      </c>
      <c r="U244" s="1" t="s">
        <v>71</v>
      </c>
      <c r="W244" s="1" t="str">
        <f t="shared" si="44"/>
        <v>Snacks</v>
      </c>
      <c r="Y244" s="16" t="s">
        <v>7</v>
      </c>
      <c r="AA244" s="1" t="s">
        <v>19</v>
      </c>
      <c r="AC244" s="5" t="str">
        <f t="shared" si="45"/>
        <v/>
      </c>
      <c r="AE244" s="1"/>
    </row>
    <row r="245" spans="2:31" x14ac:dyDescent="0.25">
      <c r="B245" s="6">
        <v>244</v>
      </c>
      <c r="C245" s="3" t="s">
        <v>524</v>
      </c>
      <c r="D245" s="4" t="str">
        <f t="shared" ref="D245:D251" si="50">TRIM(AC245)</f>
        <v>CAROL WATSON</v>
      </c>
      <c r="E245" s="6" t="str">
        <f t="shared" si="40"/>
        <v>MALE</v>
      </c>
      <c r="F245" s="6" t="str">
        <f t="shared" si="41"/>
        <v>HOUSEHOLD</v>
      </c>
      <c r="G245" s="6" t="str">
        <f t="shared" si="42"/>
        <v>BLEACH</v>
      </c>
      <c r="H245" s="8">
        <v>3</v>
      </c>
      <c r="I245" s="8">
        <v>695</v>
      </c>
      <c r="J245" s="8">
        <f t="shared" si="43"/>
        <v>2085</v>
      </c>
      <c r="K245" s="6" t="s">
        <v>42</v>
      </c>
      <c r="L245" s="9">
        <v>45836</v>
      </c>
      <c r="M245" s="1" t="str">
        <f t="shared" si="49"/>
        <v>ABUJA</v>
      </c>
      <c r="Q245" s="1" t="s">
        <v>58</v>
      </c>
      <c r="S245" s="1" t="str">
        <f t="shared" si="48"/>
        <v>Bleach</v>
      </c>
      <c r="U245" s="1" t="s">
        <v>134</v>
      </c>
      <c r="W245" s="1" t="str">
        <f t="shared" si="44"/>
        <v>Household</v>
      </c>
      <c r="Y245" s="16" t="s">
        <v>24</v>
      </c>
      <c r="AA245" s="1" t="s">
        <v>19</v>
      </c>
      <c r="AC245" s="5" t="str">
        <f t="shared" si="45"/>
        <v>CAROL WATSON</v>
      </c>
      <c r="AE245" s="1" t="s">
        <v>525</v>
      </c>
    </row>
    <row r="246" spans="2:31" x14ac:dyDescent="0.25">
      <c r="B246" s="6">
        <v>245</v>
      </c>
      <c r="C246" s="3" t="s">
        <v>526</v>
      </c>
      <c r="D246" s="4" t="str">
        <f t="shared" si="50"/>
        <v>JONATHAN LEE</v>
      </c>
      <c r="E246" s="6" t="str">
        <f t="shared" si="40"/>
        <v>FEMALE</v>
      </c>
      <c r="F246" s="6" t="str">
        <f t="shared" si="41"/>
        <v>SNACKS</v>
      </c>
      <c r="G246" s="6" t="str">
        <f t="shared" si="42"/>
        <v>CHIN CHIN</v>
      </c>
      <c r="H246" s="8">
        <v>5</v>
      </c>
      <c r="I246" s="8">
        <v>917</v>
      </c>
      <c r="J246" s="8">
        <f t="shared" si="43"/>
        <v>4585</v>
      </c>
      <c r="K246" s="6" t="s">
        <v>9</v>
      </c>
      <c r="L246" s="9">
        <v>45828</v>
      </c>
      <c r="M246" s="1" t="str">
        <f t="shared" si="49"/>
        <v>PORT HARCOURT</v>
      </c>
      <c r="Q246" s="1" t="s">
        <v>10</v>
      </c>
      <c r="S246" s="1" t="str">
        <f t="shared" si="48"/>
        <v>Chin Chin</v>
      </c>
      <c r="U246" s="1" t="s">
        <v>41</v>
      </c>
      <c r="W246" s="1" t="str">
        <f t="shared" si="44"/>
        <v>Snacks</v>
      </c>
      <c r="Y246" s="16" t="s">
        <v>7</v>
      </c>
      <c r="AA246" s="1" t="s">
        <v>6</v>
      </c>
      <c r="AC246" s="5" t="str">
        <f t="shared" si="45"/>
        <v>JONATHAN LEE</v>
      </c>
      <c r="AE246" s="1" t="s">
        <v>527</v>
      </c>
    </row>
    <row r="247" spans="2:31" x14ac:dyDescent="0.25">
      <c r="B247" s="6">
        <v>246</v>
      </c>
      <c r="C247" s="3" t="s">
        <v>79</v>
      </c>
      <c r="D247" s="4" t="str">
        <f t="shared" si="50"/>
        <v>MICHAEL ALVARADO</v>
      </c>
      <c r="E247" s="6" t="str">
        <f t="shared" si="40"/>
        <v>MALE</v>
      </c>
      <c r="F247" s="6" t="str">
        <f t="shared" si="41"/>
        <v>HOUSEHOLD</v>
      </c>
      <c r="G247" s="6" t="str">
        <f t="shared" si="42"/>
        <v>DETERGENT</v>
      </c>
      <c r="H247" s="8">
        <v>3</v>
      </c>
      <c r="I247" s="8">
        <v>263</v>
      </c>
      <c r="J247" s="8">
        <f t="shared" si="43"/>
        <v>789</v>
      </c>
      <c r="K247" s="6" t="s">
        <v>42</v>
      </c>
      <c r="L247" s="9">
        <v>45840</v>
      </c>
      <c r="M247" s="1" t="str">
        <f t="shared" si="49"/>
        <v>KANO</v>
      </c>
      <c r="Q247" s="1" t="s">
        <v>72</v>
      </c>
      <c r="S247" s="1" t="str">
        <f t="shared" si="48"/>
        <v>Detergent</v>
      </c>
      <c r="U247" s="1" t="s">
        <v>63</v>
      </c>
      <c r="W247" s="1" t="str">
        <f t="shared" si="44"/>
        <v>Household</v>
      </c>
      <c r="Y247" s="16" t="s">
        <v>24</v>
      </c>
      <c r="AA247" s="1" t="s">
        <v>19</v>
      </c>
      <c r="AC247" s="5" t="str">
        <f t="shared" si="45"/>
        <v>MICHAEL ALVARADO</v>
      </c>
      <c r="AE247" s="1" t="s">
        <v>528</v>
      </c>
    </row>
    <row r="248" spans="2:31" x14ac:dyDescent="0.25">
      <c r="B248" s="6">
        <v>247</v>
      </c>
      <c r="C248" s="3" t="s">
        <v>33</v>
      </c>
      <c r="D248" s="4" t="str">
        <f t="shared" si="50"/>
        <v>DUSTIN COOPER</v>
      </c>
      <c r="E248" s="6" t="str">
        <f t="shared" si="40"/>
        <v>FEMALE</v>
      </c>
      <c r="F248" s="6" t="str">
        <f t="shared" si="41"/>
        <v>BEVERAGES</v>
      </c>
      <c r="G248" s="6" t="str">
        <f t="shared" si="42"/>
        <v>COKE</v>
      </c>
      <c r="H248" s="8">
        <v>10</v>
      </c>
      <c r="I248" s="8">
        <v>763</v>
      </c>
      <c r="J248" s="15">
        <f t="shared" si="43"/>
        <v>7630</v>
      </c>
      <c r="K248" s="6" t="s">
        <v>20</v>
      </c>
      <c r="L248" s="9">
        <v>45816</v>
      </c>
      <c r="M248" s="1" t="str">
        <f t="shared" si="49"/>
        <v>IBADAN</v>
      </c>
      <c r="Q248" s="1" t="s">
        <v>25</v>
      </c>
      <c r="S248" s="1" t="str">
        <f t="shared" si="48"/>
        <v>Coke</v>
      </c>
      <c r="U248" s="1" t="s">
        <v>35</v>
      </c>
      <c r="W248" s="1" t="str">
        <f t="shared" si="44"/>
        <v>Beverages</v>
      </c>
      <c r="Y248" s="16" t="s">
        <v>13</v>
      </c>
      <c r="AA248" s="1" t="s">
        <v>6</v>
      </c>
      <c r="AC248" s="5" t="str">
        <f t="shared" si="45"/>
        <v>DUSTIN COOPER</v>
      </c>
      <c r="AE248" s="1" t="s">
        <v>34</v>
      </c>
    </row>
    <row r="249" spans="2:31" x14ac:dyDescent="0.25">
      <c r="B249" s="6">
        <v>248</v>
      </c>
      <c r="C249" s="3" t="s">
        <v>344</v>
      </c>
      <c r="D249" s="4" t="str">
        <f t="shared" si="50"/>
        <v>BRIANNA DAVIS</v>
      </c>
      <c r="E249" s="6" t="str">
        <f t="shared" si="40"/>
        <v>FEMALE</v>
      </c>
      <c r="F249" s="6" t="str">
        <f t="shared" si="41"/>
        <v>SNACKS</v>
      </c>
      <c r="G249" s="6" t="str">
        <f t="shared" si="42"/>
        <v>CHIN CHIN</v>
      </c>
      <c r="H249" s="8">
        <v>10</v>
      </c>
      <c r="I249" s="8">
        <v>128</v>
      </c>
      <c r="J249" s="8">
        <f t="shared" si="43"/>
        <v>1280</v>
      </c>
      <c r="K249" s="6" t="s">
        <v>42</v>
      </c>
      <c r="L249" s="9">
        <v>45819</v>
      </c>
      <c r="M249" s="1" t="str">
        <f t="shared" si="49"/>
        <v>BENIN CITY</v>
      </c>
      <c r="Q249" s="1" t="s">
        <v>16</v>
      </c>
      <c r="S249" s="1" t="str">
        <f t="shared" si="48"/>
        <v>Chin Chin</v>
      </c>
      <c r="U249" s="1" t="s">
        <v>41</v>
      </c>
      <c r="W249" s="1" t="str">
        <f t="shared" si="44"/>
        <v>Snacks</v>
      </c>
      <c r="Y249" s="16" t="s">
        <v>7</v>
      </c>
      <c r="AA249" s="1" t="s">
        <v>6</v>
      </c>
      <c r="AC249" s="5" t="str">
        <f t="shared" si="45"/>
        <v>BRIANNA DAVIS</v>
      </c>
      <c r="AE249" s="1" t="s">
        <v>345</v>
      </c>
    </row>
    <row r="250" spans="2:31" x14ac:dyDescent="0.25">
      <c r="B250" s="6">
        <v>249</v>
      </c>
      <c r="C250" s="3" t="s">
        <v>463</v>
      </c>
      <c r="D250" s="4" t="str">
        <f t="shared" si="50"/>
        <v>DAVID BLAIR</v>
      </c>
      <c r="E250" s="6" t="str">
        <f t="shared" si="40"/>
        <v>MALE</v>
      </c>
      <c r="F250" s="6" t="str">
        <f t="shared" si="41"/>
        <v>SNACKS</v>
      </c>
      <c r="G250" s="6" t="str">
        <f t="shared" si="42"/>
        <v>CHIPS</v>
      </c>
      <c r="H250" s="8">
        <v>1</v>
      </c>
      <c r="I250" s="8">
        <v>624</v>
      </c>
      <c r="J250" s="8">
        <f t="shared" si="43"/>
        <v>624</v>
      </c>
      <c r="K250" s="6" t="s">
        <v>42</v>
      </c>
      <c r="L250" s="9">
        <v>45820</v>
      </c>
      <c r="M250" s="1" t="str">
        <f t="shared" si="49"/>
        <v>ABUJA</v>
      </c>
      <c r="Q250" s="1" t="s">
        <v>58</v>
      </c>
      <c r="S250" s="1" t="str">
        <f t="shared" si="48"/>
        <v>Chips</v>
      </c>
      <c r="U250" s="1" t="s">
        <v>103</v>
      </c>
      <c r="W250" s="1" t="str">
        <f t="shared" si="44"/>
        <v>Snacks</v>
      </c>
      <c r="Y250" s="16" t="s">
        <v>7</v>
      </c>
      <c r="AA250" s="1" t="s">
        <v>19</v>
      </c>
      <c r="AC250" s="5" t="str">
        <f t="shared" si="45"/>
        <v xml:space="preserve">  DAVID BLAIR  </v>
      </c>
      <c r="AE250" s="1" t="s">
        <v>529</v>
      </c>
    </row>
    <row r="251" spans="2:31" x14ac:dyDescent="0.25">
      <c r="B251" s="6">
        <v>250</v>
      </c>
      <c r="C251" s="3" t="s">
        <v>437</v>
      </c>
      <c r="D251" s="4" t="str">
        <f t="shared" si="50"/>
        <v>AMY SUAREZ</v>
      </c>
      <c r="E251" s="6" t="str">
        <f t="shared" si="40"/>
        <v>MALE</v>
      </c>
      <c r="F251" s="6" t="str">
        <f t="shared" si="41"/>
        <v>HOUSEHOLD</v>
      </c>
      <c r="G251" s="6" t="str">
        <f t="shared" si="42"/>
        <v>BLEACH</v>
      </c>
      <c r="H251" s="8">
        <v>3</v>
      </c>
      <c r="I251" s="8">
        <v>162</v>
      </c>
      <c r="J251" s="8">
        <f t="shared" si="43"/>
        <v>486</v>
      </c>
      <c r="K251" s="6" t="s">
        <v>20</v>
      </c>
      <c r="L251" s="9">
        <v>45836</v>
      </c>
      <c r="M251" s="1" t="str">
        <f t="shared" si="49"/>
        <v>LAGOS</v>
      </c>
      <c r="Q251" s="1" t="s">
        <v>29</v>
      </c>
      <c r="S251" s="1" t="str">
        <f t="shared" si="48"/>
        <v>Bleach</v>
      </c>
      <c r="U251" s="1" t="s">
        <v>134</v>
      </c>
      <c r="W251" s="1" t="str">
        <f t="shared" si="44"/>
        <v>Household</v>
      </c>
      <c r="Y251" s="16" t="s">
        <v>24</v>
      </c>
      <c r="AA251" s="1" t="s">
        <v>19</v>
      </c>
      <c r="AC251" s="5" t="str">
        <f t="shared" si="45"/>
        <v>AMY SUAREZ</v>
      </c>
      <c r="AE251" s="1" t="s">
        <v>438</v>
      </c>
    </row>
    <row r="252" spans="2:31" hidden="1" x14ac:dyDescent="0.25">
      <c r="B252" s="6"/>
      <c r="C252" s="3"/>
      <c r="D252" s="4"/>
      <c r="E252" s="6"/>
      <c r="F252" s="6"/>
      <c r="G252" s="6"/>
      <c r="H252" s="8"/>
      <c r="I252" s="8"/>
      <c r="J252" s="8"/>
      <c r="K252" s="6"/>
      <c r="L252" s="9"/>
    </row>
    <row r="253" spans="2:31" x14ac:dyDescent="0.25">
      <c r="H253" s="13"/>
      <c r="J253" s="14"/>
    </row>
  </sheetData>
  <pageMargins left="0.7" right="0.7" top="0.75" bottom="0.75" header="0.3" footer="0.3"/>
  <pageSetup orientation="portrait" r:id="rId1"/>
  <ignoredErrors>
    <ignoredError sqref="M169 M200 M156" calculatedColum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
  <sheetViews>
    <sheetView zoomScale="80" zoomScaleNormal="80" workbookViewId="0">
      <selection activeCell="H31" sqref="H31"/>
    </sheetView>
  </sheetViews>
  <sheetFormatPr defaultRowHeight="15" x14ac:dyDescent="0.25"/>
  <cols>
    <col min="1" max="1" width="16" customWidth="1"/>
    <col min="2" max="2" width="21.5703125" customWidth="1"/>
    <col min="3" max="3" width="2.42578125" customWidth="1"/>
    <col min="4" max="4" width="17" customWidth="1"/>
    <col min="5" max="5" width="29.28515625" customWidth="1"/>
    <col min="6" max="6" width="2.42578125" customWidth="1"/>
    <col min="7" max="7" width="17.140625" customWidth="1"/>
    <col min="8" max="8" width="15.5703125" customWidth="1"/>
  </cols>
  <sheetData>
    <row r="1" spans="1:8" ht="6" customHeight="1" x14ac:dyDescent="0.25"/>
    <row r="2" spans="1:8" ht="6" customHeight="1" x14ac:dyDescent="0.25"/>
    <row r="3" spans="1:8" x14ac:dyDescent="0.25">
      <c r="A3" s="12" t="s">
        <v>551</v>
      </c>
      <c r="B3" t="s">
        <v>590</v>
      </c>
      <c r="D3" s="12" t="s">
        <v>551</v>
      </c>
      <c r="E3" t="s">
        <v>589</v>
      </c>
      <c r="G3" s="12" t="s">
        <v>536</v>
      </c>
      <c r="H3" s="16" t="s">
        <v>587</v>
      </c>
    </row>
    <row r="4" spans="1:8" x14ac:dyDescent="0.25">
      <c r="A4" s="4" t="s">
        <v>557</v>
      </c>
      <c r="B4" s="18">
        <v>112</v>
      </c>
      <c r="D4" s="4" t="s">
        <v>9</v>
      </c>
      <c r="E4" s="13">
        <v>142399</v>
      </c>
    </row>
    <row r="5" spans="1:8" x14ac:dyDescent="0.25">
      <c r="A5" s="4" t="s">
        <v>558</v>
      </c>
      <c r="B5" s="18">
        <v>54</v>
      </c>
      <c r="D5" s="4" t="s">
        <v>15</v>
      </c>
      <c r="E5" s="13">
        <v>236901</v>
      </c>
      <c r="G5" s="12" t="s">
        <v>551</v>
      </c>
      <c r="H5" t="s">
        <v>590</v>
      </c>
    </row>
    <row r="6" spans="1:8" x14ac:dyDescent="0.25">
      <c r="A6" s="4" t="s">
        <v>559</v>
      </c>
      <c r="B6" s="18">
        <v>54</v>
      </c>
      <c r="D6" s="4" t="s">
        <v>42</v>
      </c>
      <c r="E6" s="13">
        <v>233792</v>
      </c>
      <c r="G6" s="4" t="s">
        <v>557</v>
      </c>
      <c r="H6" s="8">
        <v>112</v>
      </c>
    </row>
    <row r="7" spans="1:8" x14ac:dyDescent="0.25">
      <c r="A7" s="4" t="s">
        <v>560</v>
      </c>
      <c r="B7" s="18">
        <v>228</v>
      </c>
      <c r="D7" s="4" t="s">
        <v>20</v>
      </c>
      <c r="E7" s="13">
        <v>283864</v>
      </c>
      <c r="G7" s="4" t="s">
        <v>558</v>
      </c>
      <c r="H7" s="18">
        <v>54</v>
      </c>
    </row>
    <row r="8" spans="1:8" x14ac:dyDescent="0.25">
      <c r="A8" s="4" t="s">
        <v>561</v>
      </c>
      <c r="B8" s="18">
        <v>64</v>
      </c>
      <c r="D8" s="4" t="s">
        <v>552</v>
      </c>
      <c r="E8" s="13">
        <v>896956</v>
      </c>
      <c r="G8" s="4" t="s">
        <v>559</v>
      </c>
      <c r="H8" s="18">
        <v>54</v>
      </c>
    </row>
    <row r="9" spans="1:8" x14ac:dyDescent="0.25">
      <c r="A9" s="4" t="s">
        <v>562</v>
      </c>
      <c r="B9" s="18">
        <v>49</v>
      </c>
      <c r="G9" s="4" t="s">
        <v>560</v>
      </c>
      <c r="H9" s="18">
        <v>228</v>
      </c>
    </row>
    <row r="10" spans="1:8" x14ac:dyDescent="0.25">
      <c r="A10" s="4" t="s">
        <v>563</v>
      </c>
      <c r="B10" s="18">
        <v>41</v>
      </c>
      <c r="G10" s="4" t="s">
        <v>561</v>
      </c>
      <c r="H10" s="18">
        <v>64</v>
      </c>
    </row>
    <row r="11" spans="1:8" x14ac:dyDescent="0.25">
      <c r="A11" s="4" t="s">
        <v>564</v>
      </c>
      <c r="B11" s="18">
        <v>72</v>
      </c>
      <c r="D11" s="12" t="s">
        <v>551</v>
      </c>
      <c r="E11" s="6" t="s">
        <v>590</v>
      </c>
      <c r="G11" s="4" t="s">
        <v>562</v>
      </c>
      <c r="H11" s="18">
        <v>49</v>
      </c>
    </row>
    <row r="12" spans="1:8" x14ac:dyDescent="0.25">
      <c r="A12" s="4" t="s">
        <v>565</v>
      </c>
      <c r="B12" s="18">
        <v>183</v>
      </c>
      <c r="D12" s="4" t="s">
        <v>581</v>
      </c>
      <c r="E12" s="18">
        <v>354</v>
      </c>
      <c r="G12" s="4" t="s">
        <v>563</v>
      </c>
      <c r="H12" s="18">
        <v>41</v>
      </c>
    </row>
    <row r="13" spans="1:8" x14ac:dyDescent="0.25">
      <c r="A13" s="4" t="s">
        <v>566</v>
      </c>
      <c r="B13" s="18">
        <v>93</v>
      </c>
      <c r="D13" s="4" t="s">
        <v>582</v>
      </c>
      <c r="E13" s="18">
        <v>525</v>
      </c>
      <c r="G13" s="4" t="s">
        <v>564</v>
      </c>
      <c r="H13" s="18">
        <v>72</v>
      </c>
    </row>
    <row r="14" spans="1:8" x14ac:dyDescent="0.25">
      <c r="A14" s="4" t="s">
        <v>567</v>
      </c>
      <c r="B14" s="18">
        <v>99</v>
      </c>
      <c r="D14" s="4" t="s">
        <v>583</v>
      </c>
      <c r="E14" s="18">
        <v>292</v>
      </c>
      <c r="G14" s="4" t="s">
        <v>565</v>
      </c>
      <c r="H14" s="18">
        <v>183</v>
      </c>
    </row>
    <row r="15" spans="1:8" x14ac:dyDescent="0.25">
      <c r="A15" s="4" t="s">
        <v>568</v>
      </c>
      <c r="B15" s="18">
        <v>45</v>
      </c>
      <c r="D15" s="4" t="s">
        <v>584</v>
      </c>
      <c r="E15" s="18">
        <v>486</v>
      </c>
      <c r="G15" s="4" t="s">
        <v>566</v>
      </c>
      <c r="H15" s="18">
        <v>93</v>
      </c>
    </row>
    <row r="16" spans="1:8" x14ac:dyDescent="0.25">
      <c r="A16" s="4" t="s">
        <v>569</v>
      </c>
      <c r="B16" s="18">
        <v>85</v>
      </c>
      <c r="D16" s="4" t="s">
        <v>552</v>
      </c>
      <c r="E16" s="18">
        <v>1657</v>
      </c>
      <c r="G16" s="4" t="s">
        <v>567</v>
      </c>
      <c r="H16" s="18">
        <v>99</v>
      </c>
    </row>
    <row r="17" spans="1:8" x14ac:dyDescent="0.25">
      <c r="A17" s="4" t="s">
        <v>570</v>
      </c>
      <c r="B17" s="18">
        <v>72</v>
      </c>
      <c r="G17" s="4" t="s">
        <v>568</v>
      </c>
      <c r="H17" s="18">
        <v>45</v>
      </c>
    </row>
    <row r="18" spans="1:8" x14ac:dyDescent="0.25">
      <c r="A18" s="4" t="s">
        <v>571</v>
      </c>
      <c r="B18" s="18">
        <v>68</v>
      </c>
      <c r="G18" s="4" t="s">
        <v>569</v>
      </c>
      <c r="H18" s="18">
        <v>85</v>
      </c>
    </row>
    <row r="19" spans="1:8" x14ac:dyDescent="0.25">
      <c r="A19" s="4" t="s">
        <v>572</v>
      </c>
      <c r="B19" s="18">
        <v>68</v>
      </c>
      <c r="D19" s="12" t="s">
        <v>551</v>
      </c>
      <c r="E19" s="6" t="s">
        <v>590</v>
      </c>
      <c r="G19" s="4" t="s">
        <v>570</v>
      </c>
      <c r="H19" s="18">
        <v>72</v>
      </c>
    </row>
    <row r="20" spans="1:8" x14ac:dyDescent="0.25">
      <c r="A20" s="4" t="s">
        <v>573</v>
      </c>
      <c r="B20" s="18">
        <v>83</v>
      </c>
      <c r="D20" s="4" t="s">
        <v>585</v>
      </c>
      <c r="E20" s="18">
        <v>836</v>
      </c>
      <c r="G20" s="4" t="s">
        <v>571</v>
      </c>
      <c r="H20" s="18">
        <v>68</v>
      </c>
    </row>
    <row r="21" spans="1:8" x14ac:dyDescent="0.25">
      <c r="A21" s="4" t="s">
        <v>574</v>
      </c>
      <c r="B21" s="18">
        <v>93</v>
      </c>
      <c r="D21" s="4" t="s">
        <v>586</v>
      </c>
      <c r="E21" s="18">
        <v>821</v>
      </c>
      <c r="G21" s="4" t="s">
        <v>572</v>
      </c>
      <c r="H21" s="18">
        <v>68</v>
      </c>
    </row>
    <row r="22" spans="1:8" x14ac:dyDescent="0.25">
      <c r="A22" s="4" t="s">
        <v>575</v>
      </c>
      <c r="B22" s="18">
        <v>35</v>
      </c>
      <c r="D22" s="4" t="s">
        <v>552</v>
      </c>
      <c r="E22" s="18">
        <v>1657</v>
      </c>
      <c r="G22" s="4" t="s">
        <v>573</v>
      </c>
      <c r="H22" s="18">
        <v>83</v>
      </c>
    </row>
    <row r="23" spans="1:8" x14ac:dyDescent="0.25">
      <c r="A23" s="4" t="s">
        <v>576</v>
      </c>
      <c r="B23" s="18">
        <v>59</v>
      </c>
      <c r="G23" s="4" t="s">
        <v>574</v>
      </c>
      <c r="H23" s="18">
        <v>93</v>
      </c>
    </row>
    <row r="24" spans="1:8" x14ac:dyDescent="0.25">
      <c r="A24" s="4" t="s">
        <v>552</v>
      </c>
      <c r="B24" s="18">
        <v>1657</v>
      </c>
      <c r="G24" s="4" t="s">
        <v>575</v>
      </c>
      <c r="H24" s="18">
        <v>35</v>
      </c>
    </row>
    <row r="25" spans="1:8" x14ac:dyDescent="0.25">
      <c r="G25" s="4" t="s">
        <v>576</v>
      </c>
      <c r="H25" s="18">
        <v>59</v>
      </c>
    </row>
    <row r="26" spans="1:8" x14ac:dyDescent="0.25">
      <c r="G26" s="4" t="s">
        <v>552</v>
      </c>
      <c r="H26" s="18">
        <v>1657</v>
      </c>
    </row>
    <row r="28" spans="1:8" x14ac:dyDescent="0.25">
      <c r="A28" s="12" t="s">
        <v>551</v>
      </c>
      <c r="B28" t="s">
        <v>589</v>
      </c>
      <c r="D28" s="12" t="s">
        <v>551</v>
      </c>
      <c r="E28" s="6" t="s">
        <v>592</v>
      </c>
    </row>
    <row r="29" spans="1:8" x14ac:dyDescent="0.25">
      <c r="A29" s="4" t="s">
        <v>581</v>
      </c>
      <c r="B29" s="19">
        <v>200074</v>
      </c>
      <c r="D29" s="4" t="s">
        <v>535</v>
      </c>
      <c r="E29" s="18">
        <v>47</v>
      </c>
    </row>
    <row r="30" spans="1:8" x14ac:dyDescent="0.25">
      <c r="A30" s="4" t="s">
        <v>582</v>
      </c>
      <c r="B30" s="19">
        <v>229252</v>
      </c>
      <c r="D30" s="4" t="s">
        <v>534</v>
      </c>
      <c r="E30" s="18">
        <v>46</v>
      </c>
    </row>
    <row r="31" spans="1:8" x14ac:dyDescent="0.25">
      <c r="A31" s="4" t="s">
        <v>583</v>
      </c>
      <c r="B31" s="19">
        <v>167802</v>
      </c>
      <c r="D31" s="4" t="s">
        <v>553</v>
      </c>
      <c r="E31" s="18">
        <v>35</v>
      </c>
    </row>
    <row r="32" spans="1:8" x14ac:dyDescent="0.25">
      <c r="A32" s="4" t="s">
        <v>584</v>
      </c>
      <c r="B32" s="19">
        <v>299828</v>
      </c>
      <c r="D32" s="4" t="s">
        <v>578</v>
      </c>
      <c r="E32" s="18">
        <v>39</v>
      </c>
    </row>
    <row r="33" spans="1:5" x14ac:dyDescent="0.25">
      <c r="A33" s="4" t="s">
        <v>552</v>
      </c>
      <c r="B33" s="19">
        <v>896956</v>
      </c>
      <c r="D33" s="4" t="s">
        <v>533</v>
      </c>
      <c r="E33" s="18">
        <v>39</v>
      </c>
    </row>
    <row r="34" spans="1:5" x14ac:dyDescent="0.25">
      <c r="D34" s="4" t="s">
        <v>579</v>
      </c>
      <c r="E34" s="18">
        <v>2</v>
      </c>
    </row>
    <row r="35" spans="1:5" x14ac:dyDescent="0.25">
      <c r="D35" s="4" t="s">
        <v>580</v>
      </c>
      <c r="E35" s="18">
        <v>42</v>
      </c>
    </row>
    <row r="36" spans="1:5" x14ac:dyDescent="0.25">
      <c r="A36" t="s">
        <v>589</v>
      </c>
      <c r="D36" s="4" t="s">
        <v>552</v>
      </c>
      <c r="E36" s="18">
        <v>250</v>
      </c>
    </row>
    <row r="37" spans="1:5" x14ac:dyDescent="0.25">
      <c r="A37" s="19">
        <v>896956</v>
      </c>
    </row>
    <row r="39" spans="1:5" x14ac:dyDescent="0.25">
      <c r="A39" t="s">
        <v>577</v>
      </c>
    </row>
    <row r="40" spans="1:5" x14ac:dyDescent="0.25">
      <c r="A40" s="19">
        <v>1657</v>
      </c>
      <c r="D40" s="12" t="s">
        <v>551</v>
      </c>
      <c r="E40" s="6" t="s">
        <v>588</v>
      </c>
    </row>
    <row r="41" spans="1:5" x14ac:dyDescent="0.25">
      <c r="D41" s="4" t="s">
        <v>585</v>
      </c>
      <c r="E41" s="18">
        <v>125</v>
      </c>
    </row>
    <row r="42" spans="1:5" x14ac:dyDescent="0.25">
      <c r="D42" s="4" t="s">
        <v>586</v>
      </c>
      <c r="E42" s="18">
        <v>125</v>
      </c>
    </row>
    <row r="43" spans="1:5" x14ac:dyDescent="0.25">
      <c r="D43" s="4" t="s">
        <v>552</v>
      </c>
      <c r="E43" s="18">
        <v>250</v>
      </c>
    </row>
    <row r="50" spans="2:2" x14ac:dyDescent="0.25">
      <c r="B50" s="20"/>
    </row>
  </sheetData>
  <conditionalFormatting sqref="D4:D7">
    <cfRule type="dataBar" priority="7">
      <dataBar>
        <cfvo type="min"/>
        <cfvo type="max"/>
        <color theme="4" tint="0.39997558519241921"/>
      </dataBar>
      <extLst>
        <ext xmlns:x14="http://schemas.microsoft.com/office/spreadsheetml/2009/9/main" uri="{B025F937-C7B1-47D3-B67F-A62EFF666E3E}">
          <x14:id>{78B43E34-9BDD-4840-A54C-ECC24847BC60}</x14:id>
        </ext>
      </extLst>
    </cfRule>
  </conditionalFormatting>
  <conditionalFormatting sqref="A28:B28 A34:B35 A30:A33 A45:B49">
    <cfRule type="top10" priority="4" rank="10"/>
  </conditionalFormatting>
  <conditionalFormatting sqref="D11:E11 D12:D15">
    <cfRule type="dataBar" priority="3">
      <dataBar>
        <cfvo type="min"/>
        <cfvo type="max"/>
        <color rgb="FF008AEF"/>
      </dataBar>
      <extLst>
        <ext xmlns:x14="http://schemas.microsoft.com/office/spreadsheetml/2009/9/main" uri="{B025F937-C7B1-47D3-B67F-A62EFF666E3E}">
          <x14:id>{87DD617A-B52A-4BD1-A0D2-BE2B71D613C6}</x14:id>
        </ext>
      </extLst>
    </cfRule>
  </conditionalFormatting>
  <conditionalFormatting sqref="A36:B36 A38">
    <cfRule type="top10" priority="2" rank="10"/>
  </conditionalFormatting>
  <conditionalFormatting sqref="A39:B39 A41:A44">
    <cfRule type="top10" priority="1" rank="10"/>
  </conditionalFormatting>
  <pageMargins left="0.7" right="0.7" top="0.75" bottom="0.75" header="0.3" footer="0.3"/>
  <pageSetup orientation="portrait" r:id="rId11"/>
  <extLst>
    <ext xmlns:x14="http://schemas.microsoft.com/office/spreadsheetml/2009/9/main" uri="{78C0D931-6437-407d-A8EE-F0AAD7539E65}">
      <x14:conditionalFormattings>
        <x14:conditionalFormatting xmlns:xm="http://schemas.microsoft.com/office/excel/2006/main">
          <x14:cfRule type="dataBar" id="{78B43E34-9BDD-4840-A54C-ECC24847BC60}">
            <x14:dataBar minLength="0" maxLength="100">
              <x14:cfvo type="autoMin"/>
              <x14:cfvo type="autoMax"/>
              <x14:negativeFillColor rgb="FFFF0000"/>
              <x14:axisColor rgb="FF000000"/>
            </x14:dataBar>
          </x14:cfRule>
          <xm:sqref>D4:D7</xm:sqref>
        </x14:conditionalFormatting>
        <x14:conditionalFormatting xmlns:xm="http://schemas.microsoft.com/office/excel/2006/main">
          <x14:cfRule type="dataBar" id="{87DD617A-B52A-4BD1-A0D2-BE2B71D613C6}">
            <x14:dataBar minLength="0" maxLength="100" border="1" negativeBarBorderColorSameAsPositive="0">
              <x14:cfvo type="autoMin"/>
              <x14:cfvo type="autoMax"/>
              <x14:borderColor rgb="FF008AEF"/>
              <x14:negativeFillColor rgb="FFFF0000"/>
              <x14:negativeBorderColor rgb="FFFF0000"/>
              <x14:axisColor rgb="FF000000"/>
            </x14:dataBar>
          </x14:cfRule>
          <xm:sqref>D11:E11 D12:D15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3"/>
  <sheetViews>
    <sheetView showGridLines="0" zoomScale="60" zoomScaleNormal="60" workbookViewId="0">
      <selection activeCell="S24" sqref="S24"/>
    </sheetView>
  </sheetViews>
  <sheetFormatPr defaultRowHeight="15" x14ac:dyDescent="0.25"/>
  <cols>
    <col min="1" max="1" width="11" customWidth="1"/>
    <col min="13" max="13" width="10.7109375" customWidth="1"/>
  </cols>
  <sheetData>
    <row r="2" spans="2:13" x14ac:dyDescent="0.25">
      <c r="B2" s="21" t="s">
        <v>591</v>
      </c>
      <c r="C2" s="22"/>
      <c r="D2" s="22"/>
      <c r="E2" s="22"/>
      <c r="F2" s="22"/>
      <c r="G2" s="22"/>
      <c r="H2" s="22"/>
      <c r="I2" s="22"/>
      <c r="J2" s="22"/>
      <c r="K2" s="22"/>
      <c r="L2" s="22"/>
      <c r="M2" s="22"/>
    </row>
    <row r="3" spans="2:13" ht="15" customHeight="1" x14ac:dyDescent="0.25">
      <c r="B3" s="22"/>
      <c r="C3" s="22"/>
      <c r="D3" s="22"/>
      <c r="E3" s="22"/>
      <c r="F3" s="22"/>
      <c r="G3" s="22"/>
      <c r="H3" s="22"/>
      <c r="I3" s="22"/>
      <c r="J3" s="22"/>
      <c r="K3" s="22"/>
      <c r="L3" s="22"/>
      <c r="M3" s="22"/>
    </row>
  </sheetData>
  <mergeCells count="1">
    <mergeCell ref="B2:M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0"/>
  <sheetViews>
    <sheetView showGridLines="0" tabSelected="1" topLeftCell="A29" zoomScale="70" zoomScaleNormal="70" workbookViewId="0">
      <selection activeCell="S33" sqref="S33"/>
    </sheetView>
  </sheetViews>
  <sheetFormatPr defaultRowHeight="15" x14ac:dyDescent="0.25"/>
  <sheetData>
    <row r="2" spans="1:12" ht="31.5" x14ac:dyDescent="0.25">
      <c r="L2" s="25" t="s">
        <v>593</v>
      </c>
    </row>
    <row r="4" spans="1:12" ht="18.75" x14ac:dyDescent="0.25">
      <c r="A4" s="23" t="s">
        <v>594</v>
      </c>
    </row>
    <row r="6" spans="1:12" ht="18.75" x14ac:dyDescent="0.3">
      <c r="A6" s="24" t="s">
        <v>595</v>
      </c>
    </row>
    <row r="8" spans="1:12" ht="18.75" x14ac:dyDescent="0.25">
      <c r="A8" s="23" t="s">
        <v>596</v>
      </c>
    </row>
    <row r="10" spans="1:12" ht="18.75" x14ac:dyDescent="0.25">
      <c r="A10" s="23" t="s">
        <v>597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CLEANED DATA</vt:lpstr>
      <vt:lpstr>PIVOT TABLE</vt:lpstr>
      <vt:lpstr>DASHBOARD</vt:lpstr>
      <vt:lpstr>INSIGHT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2025-08-02T19:30:10Z</dcterms:created>
  <dcterms:modified xsi:type="dcterms:W3CDTF">2025-12-30T23:23:23Z</dcterms:modified>
</cp:coreProperties>
</file>